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EAH1SGH\Desktop\"/>
    </mc:Choice>
  </mc:AlternateContent>
  <xr:revisionPtr revIDLastSave="0" documentId="13_ncr:1_{F1A44717-8A10-43DF-9D6D-E9660405B222}" xr6:coauthVersionLast="47" xr6:coauthVersionMax="47" xr10:uidLastSave="{00000000-0000-0000-0000-000000000000}"/>
  <bookViews>
    <workbookView xWindow="-108" yWindow="-108" windowWidth="23256" windowHeight="12456" xr2:uid="{00000000-000D-0000-FFFF-FFFF00000000}"/>
  </bookViews>
  <sheets>
    <sheet name="定制开发应用功能详细列表"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4" i="2" l="1"/>
  <c r="I89" i="2"/>
  <c r="I90" i="2"/>
  <c r="I91" i="2"/>
  <c r="I92" i="2"/>
  <c r="I82" i="2"/>
  <c r="I83" i="2"/>
  <c r="I84" i="2"/>
  <c r="I86" i="2"/>
  <c r="I87" i="2"/>
  <c r="I88" i="2"/>
  <c r="I64" i="2"/>
  <c r="I65" i="2"/>
  <c r="I66" i="2"/>
  <c r="I67" i="2"/>
  <c r="I69" i="2"/>
  <c r="I70" i="2"/>
  <c r="I71" i="2"/>
  <c r="I72" i="2"/>
  <c r="I73" i="2"/>
  <c r="I74" i="2"/>
  <c r="I75" i="2"/>
  <c r="I76" i="2"/>
  <c r="I77" i="2"/>
  <c r="I78" i="2"/>
  <c r="I79" i="2"/>
  <c r="I80" i="2"/>
  <c r="I81" i="2"/>
  <c r="I56" i="2"/>
  <c r="I57" i="2"/>
  <c r="I58" i="2"/>
  <c r="I59" i="2"/>
  <c r="I60" i="2"/>
  <c r="I61" i="2"/>
  <c r="I62" i="2"/>
  <c r="I63" i="2"/>
  <c r="I39" i="2"/>
  <c r="I40" i="2"/>
  <c r="I41" i="2"/>
  <c r="I42" i="2"/>
  <c r="I43" i="2"/>
  <c r="I44" i="2"/>
  <c r="I45" i="2"/>
  <c r="I46" i="2"/>
  <c r="I47" i="2"/>
  <c r="I48" i="2"/>
  <c r="I49" i="2"/>
  <c r="I50" i="2"/>
  <c r="I51" i="2"/>
  <c r="I52" i="2"/>
  <c r="I53" i="2"/>
  <c r="I54" i="2"/>
  <c r="I55" i="2"/>
  <c r="I38" i="2"/>
  <c r="I31" i="2"/>
  <c r="I32" i="2"/>
  <c r="I33" i="2"/>
  <c r="I34" i="2"/>
  <c r="I35" i="2"/>
  <c r="I36" i="2"/>
  <c r="I95" i="2"/>
  <c r="I12" i="2"/>
  <c r="I13" i="2"/>
  <c r="I14" i="2"/>
  <c r="I15" i="2"/>
  <c r="I16" i="2"/>
  <c r="I17" i="2"/>
  <c r="I28" i="2"/>
  <c r="I27" i="2"/>
  <c r="I26" i="2"/>
  <c r="I18" i="2"/>
  <c r="I19" i="2"/>
  <c r="I20" i="2"/>
  <c r="I21" i="2"/>
  <c r="I6" i="2"/>
  <c r="I7" i="2"/>
  <c r="I8" i="2"/>
  <c r="I9" i="2"/>
  <c r="I25" i="2"/>
  <c r="I24" i="2"/>
  <c r="I29" i="2"/>
  <c r="I23" i="2"/>
  <c r="I22" i="2"/>
  <c r="I11" i="2"/>
  <c r="I10" i="2"/>
  <c r="I5" i="2"/>
  <c r="I4" i="2"/>
  <c r="I3" i="2"/>
  <c r="I85" i="2" l="1"/>
  <c r="I68" i="2"/>
  <c r="I93" i="2"/>
  <c r="I96" i="2"/>
  <c r="I37" i="2"/>
  <c r="I30" i="2"/>
  <c r="I97" i="2" l="1"/>
</calcChain>
</file>

<file path=xl/sharedStrings.xml><?xml version="1.0" encoding="utf-8"?>
<sst xmlns="http://schemas.openxmlformats.org/spreadsheetml/2006/main" count="291" uniqueCount="199">
  <si>
    <t>定制开发应用软件预算表</t>
  </si>
  <si>
    <t>序号</t>
  </si>
  <si>
    <t>子系统名称</t>
  </si>
  <si>
    <t>一级模块</t>
  </si>
  <si>
    <t>二级模块</t>
  </si>
  <si>
    <t>模块说明</t>
  </si>
  <si>
    <t>工作量
(人·月)</t>
  </si>
  <si>
    <t>综合单价
(人·月)</t>
  </si>
  <si>
    <t>金额
（元）</t>
  </si>
  <si>
    <t>车端系统</t>
  </si>
  <si>
    <t>数据采集模块</t>
  </si>
  <si>
    <t>传感器接口管理模块负责不同类型传感器的接入、识别、配置、状态监控与通信协议管理。对接车内信号总线CAN总线等，从车内控制器获取ecu需要的数据</t>
  </si>
  <si>
    <t>数据缓存队列</t>
  </si>
  <si>
    <t>动态采样率调整</t>
  </si>
  <si>
    <t>合规性检查模块</t>
  </si>
  <si>
    <t>GDPR/数据脱敏处理</t>
  </si>
  <si>
    <t>功耗优化控制器</t>
  </si>
  <si>
    <t>动态采样率调整/自动断电/断网重连，自动识别传感器类型和参数，支持热插拔及动态加载驱动</t>
  </si>
  <si>
    <t>RTK定位数据采集</t>
  </si>
  <si>
    <t>GPS数据采集</t>
  </si>
  <si>
    <t>数据通讯模块</t>
  </si>
  <si>
    <t>协议适配层</t>
  </si>
  <si>
    <t>HTTPS轮询与WebSocket长链接</t>
  </si>
  <si>
    <t>OTA升级管理</t>
  </si>
  <si>
    <t>包含：版本管理，支持多版本维护，记录设备当前版本及历史升级记录，支持差分更新/回滚机制</t>
  </si>
  <si>
    <t>数据加密模块</t>
  </si>
  <si>
    <t>非名文数据传输</t>
  </si>
  <si>
    <t>通讯加密模块</t>
  </si>
  <si>
    <t>https双向认证，客户端需验证服务端证书</t>
  </si>
  <si>
    <t>以提升交互效率、安全性和用户体验。多源信息调度，来自AI分析、传感器预警、系统状态、自定义设置等的信息进行集中调度
定义多个优先级等级（如：高、中、低、可延迟），每个等级对应不同的提示方式和权限。</t>
  </si>
  <si>
    <t>事件地理/时间校验模块</t>
  </si>
  <si>
    <t>对云端下发的事件进行坐标/时间验证，过滤距离时间过远判断为无影响的事件</t>
  </si>
  <si>
    <t>云端通信模块</t>
  </si>
  <si>
    <t>连接到云端定时采集周边事件，将事件传入下一模块进行有效性校验</t>
  </si>
  <si>
    <t>声光预警模块</t>
  </si>
  <si>
    <t>云端下发事件给HMI，HMI通过声光预警提醒驾驶源前方异常路端</t>
  </si>
  <si>
    <t>路端系统</t>
  </si>
  <si>
    <t>数据采集后端接收模块</t>
  </si>
  <si>
    <t>采集传感器SDK2接入模块</t>
  </si>
  <si>
    <t>用于接收SDK2版本的传感器数据推送接收</t>
  </si>
  <si>
    <t>采集传感器SDK3接入模块</t>
  </si>
  <si>
    <t>用于接收SDK3版本的传感器数据推送接收</t>
  </si>
  <si>
    <t>用于将SDK2,SDK3接收到的数据进行统一数据格式转换以传给数据预处理进行统一处理</t>
  </si>
  <si>
    <t>后端数据存储</t>
  </si>
  <si>
    <t>存储控制模块</t>
  </si>
  <si>
    <t>cache/存储大小控制模块</t>
  </si>
  <si>
    <t>定期清理过期数据控制占用的内存/磁盘空间</t>
  </si>
  <si>
    <t>事件控制</t>
  </si>
  <si>
    <t>路端事件生成控制引擎</t>
  </si>
  <si>
    <t>云端算法设计与训练系统</t>
  </si>
  <si>
    <t>数据预先处理模块</t>
  </si>
  <si>
    <t>识别并去除数据中的噪声，避免对训练模型的影响</t>
  </si>
  <si>
    <t>时空对齐引擎</t>
  </si>
  <si>
    <t>数据标准化</t>
  </si>
  <si>
    <t>数据标准化模块负责对来自多源传感器的数据进行格式转换、尺度归一、单位统一、异常处理等预处理操作，使其符合系统内部通用的数据结构标准，支持多类传感器数据标准化处理，灵活配置标准化参数、方法、单位类型等</t>
  </si>
  <si>
    <t>自动化训练流水线</t>
  </si>
  <si>
    <t>是实现高效、可复用、可持续迭代AI模型开发的核心设施，特别适用于需要不断更新模型以应对新路况、新数据的系统场景</t>
  </si>
  <si>
    <t>在项目正式运行前，由仿真环境验证算法</t>
  </si>
  <si>
    <t>模型鲁棒性与准确性验证</t>
  </si>
  <si>
    <t>真阳性，假阳性，真阴性，假阴性评估矩阵</t>
  </si>
  <si>
    <t>数据报告生成</t>
  </si>
  <si>
    <t>根据需求生成图表、报表和分析结果</t>
  </si>
  <si>
    <t>日/周/月报自动生成</t>
  </si>
  <si>
    <t>云端数据存储模块</t>
  </si>
  <si>
    <t>冷热数据分层存储</t>
  </si>
  <si>
    <t>提高访问效率，提升用户体验</t>
  </si>
  <si>
    <t>将历史数据长期保存</t>
  </si>
  <si>
    <t>并支持高效查询</t>
  </si>
  <si>
    <t>API开放平台</t>
  </si>
  <si>
    <t>对外的RESTful API模块</t>
  </si>
  <si>
    <t>提供RESTful API供第三方应用访问数据</t>
  </si>
  <si>
    <t>跨平台访问模块</t>
  </si>
  <si>
    <t>目标融合算法</t>
  </si>
  <si>
    <t>支持通过大平台跳转到本系统主页</t>
  </si>
  <si>
    <t>数据同步与更新模块</t>
  </si>
  <si>
    <t>SSE长链接</t>
  </si>
  <si>
    <t>服务端主动推送事件</t>
  </si>
  <si>
    <t>云端及数据通道加密</t>
  </si>
  <si>
    <t>双向证书认证机制</t>
  </si>
  <si>
    <t>服务端验证客户端证书</t>
  </si>
  <si>
    <t>历史数据回放</t>
  </si>
  <si>
    <t>小计</t>
  </si>
  <si>
    <t>司机补贴代发</t>
  </si>
  <si>
    <t>日志管理</t>
  </si>
  <si>
    <t>日志分级管理</t>
  </si>
  <si>
    <t>后端系统输入日志支持INFO,DEBUG,WARN,ERROR级别，并且输入到不同的文件中</t>
  </si>
  <si>
    <t>按预定的规则进行日志文件清理，避免日志文件占用过大的磁盘空间</t>
  </si>
  <si>
    <t>数据存储模块</t>
  </si>
  <si>
    <t>以文件的形式存储采集的数据</t>
  </si>
  <si>
    <t>数据压缩模块</t>
  </si>
  <si>
    <t>以批量数据压缩的方式压缩数据大小</t>
  </si>
  <si>
    <t>通过文件加密签名的方式对数据进行安全处理</t>
  </si>
  <si>
    <t>交互验证模块</t>
  </si>
  <si>
    <t>数据传输前进行客户端/服务端交互验证</t>
  </si>
  <si>
    <t>数据传输模块</t>
  </si>
  <si>
    <t>发起数据的传输和确认</t>
  </si>
  <si>
    <t>数据通讯日志模块</t>
  </si>
  <si>
    <t>记录数据传输的相关日志</t>
  </si>
  <si>
    <t>通过GPS定位获取自车位置信息</t>
  </si>
  <si>
    <t>预警数据同步模块</t>
  </si>
  <si>
    <t>通过WebSocket接口获取预警数据的推送</t>
  </si>
  <si>
    <t>预警计算模块</t>
  </si>
  <si>
    <t>根据推送的预警数据，计算出合理的预警点位</t>
  </si>
  <si>
    <t>负载均衡</t>
  </si>
  <si>
    <t>Ngnix 负载</t>
  </si>
  <si>
    <t>通过Nginx服务器配置基础的负载均衡</t>
  </si>
  <si>
    <t>下发数据负载</t>
  </si>
  <si>
    <t>对下发的数据的请求进行负载均衡</t>
  </si>
  <si>
    <t>上传数据负载</t>
  </si>
  <si>
    <t>对上传的数据的请求进行负载均衡</t>
  </si>
  <si>
    <t>数据缓存</t>
  </si>
  <si>
    <t>Redis配置</t>
  </si>
  <si>
    <t>配置Redis服务器</t>
  </si>
  <si>
    <t>Redis存储</t>
  </si>
  <si>
    <t>通过Redis接口实现数据缓存</t>
  </si>
  <si>
    <t>执行控制</t>
  </si>
  <si>
    <t>执行状态管理模块</t>
  </si>
  <si>
    <t>对于后台应用进行状态管理能查看后台应用的执行情况，通常状态有：Running,Stopped</t>
  </si>
  <si>
    <t>系统跟随启动</t>
  </si>
  <si>
    <t>对于OS重启则自动进行应用启动</t>
  </si>
  <si>
    <t>RTK定位数据上传</t>
  </si>
  <si>
    <t>采集到的GPS数据跟其他数据 进行整合上传</t>
  </si>
  <si>
    <t>请求日志</t>
  </si>
  <si>
    <t>对于所有异常请求输出到日志文件</t>
  </si>
  <si>
    <t>将收到的不同传感器数据进行时间过滤以1分钟为单位将数据统一并存入cache中</t>
  </si>
  <si>
    <t>安装配置</t>
  </si>
  <si>
    <t>车型profile切换</t>
  </si>
  <si>
    <t>在装车的时候可以按车型切换车型配置文件</t>
  </si>
  <si>
    <t>时间同步</t>
  </si>
  <si>
    <t>开机连网后与网络时间进行时间同步</t>
  </si>
  <si>
    <t>wifi热点配置，在安装上车前进行联网配置</t>
  </si>
  <si>
    <t>大屏背景</t>
  </si>
  <si>
    <t>在线地图显示</t>
  </si>
  <si>
    <t>初始化时显示以无锡为中心的地图区域</t>
  </si>
  <si>
    <t>时间轴显示</t>
  </si>
  <si>
    <t>大屏左侧栏固定显示系统信息</t>
  </si>
  <si>
    <t>固定信息栏按背景的放大缩小同步放大缩小</t>
  </si>
  <si>
    <t>实时数据</t>
  </si>
  <si>
    <t>菜单缩略图显示及支持用户操作</t>
  </si>
  <si>
    <t>菜单默认显示为一个缩略图在大屏左上方悬浮</t>
  </si>
  <si>
    <t>用户点缩略图弹出菜单整体GUI，覆盖在背景图层上</t>
  </si>
  <si>
    <t>用户查看选择的道路路况（多个路口可选）</t>
  </si>
  <si>
    <t>当前空气温度，路面温度，相对温度实时值</t>
  </si>
  <si>
    <t>告警视图列表，显示路名，告警源，警报类型，时间</t>
  </si>
  <si>
    <t>用户查看服务统计数据</t>
  </si>
  <si>
    <t>本系统的服务覆盖范围 （KM^2）</t>
  </si>
  <si>
    <t>实时整体天气情况（阴，睛，多云...）</t>
  </si>
  <si>
    <t>近24小时积水路面个数以及路名列表</t>
  </si>
  <si>
    <t>近24小时湿滑路面个数以及路名列表</t>
  </si>
  <si>
    <t>近24小时颠簸路面个数以及路名列表</t>
  </si>
  <si>
    <t>用户选择地图叠加路据</t>
  </si>
  <si>
    <t>用户可在弹出菜单页面选择是否显示车队信息</t>
  </si>
  <si>
    <t>用户可在弹出菜单页面选择是否显示路面干湿状态</t>
  </si>
  <si>
    <t>用户可在弹出菜单页面选择是否显示路面温度信息</t>
  </si>
  <si>
    <t>用户可在弹出菜单页面选择是否显示路面积水颠簸事件</t>
  </si>
  <si>
    <t>用户可在弹出菜单页面选择是否显示部署路侧设备的路口标识</t>
  </si>
  <si>
    <t>用户选择数据的图层显示</t>
  </si>
  <si>
    <t>地图上显示车辆的定位信息</t>
  </si>
  <si>
    <t>地图上显示 路网 路面干湿状态，以叠加图层描述每条路的方式，干燥为绿，潮湿为桔色，积水为红</t>
  </si>
  <si>
    <t>地图上显示 路网 路面温度状态，以叠加图层描述每条路的方式，低温为蓝，正常为绿，高温红为</t>
  </si>
  <si>
    <t>地图上显示 路面积水颠簸事件，以警示符在定位的方式 显示</t>
  </si>
  <si>
    <t>地图上显示 路侧设备定位，在放置设备的路口显示设备图标</t>
  </si>
  <si>
    <t>用户拖动地图下方的时间轴</t>
  </si>
  <si>
    <t>地图上显示着的数据按用户拖到的时间点位进行数据重取及刷新</t>
  </si>
  <si>
    <t>用户对地图进行的zoom操作</t>
  </si>
  <si>
    <t>云端
信息展示平台</t>
  </si>
  <si>
    <t>数据模型训练模块
模型构建与调优</t>
  </si>
  <si>
    <t>模型评估与验证仿真环境搭建</t>
  </si>
  <si>
    <t>数据预先处理模块：异常值检测、噪声消除</t>
  </si>
  <si>
    <t>SDK2,SDK3数据统一清理转换模块</t>
  </si>
  <si>
    <t>整屏背景显示 一个在线地图</t>
  </si>
  <si>
    <t>地图要支持放大功能 ，用户通过控制浏览器的显示比例，或者ctrl+mouse操作</t>
  </si>
  <si>
    <t>地图要支持缩小功能 ，用户通过控制浏览器的显示比例，或者ctrl+mouse操作</t>
  </si>
  <si>
    <t>地图下方显示一个24小时的bar,每格为一小时用于切换数据时间</t>
  </si>
  <si>
    <t>大屏logo及系统名</t>
  </si>
  <si>
    <t>上方显示公司Logo</t>
  </si>
  <si>
    <t>Logo下方显示系统名</t>
  </si>
  <si>
    <t>近24小时空气温度折线图</t>
  </si>
  <si>
    <t>按定义好的事件控制逻辑生成对应事件比如</t>
  </si>
  <si>
    <t>统一数据的合规坐标系转化以及时钟同步，及合规处理</t>
  </si>
  <si>
    <t>软件运维及技术支持</t>
  </si>
  <si>
    <t>系统建设和服务费总计</t>
  </si>
  <si>
    <t>数据模型</t>
  </si>
  <si>
    <t>流水线及仿真</t>
  </si>
  <si>
    <t>该模块负责构建、训练、评估并持续优化AI模型，旨在从多源传感器数据中精准识别道路状态（如结冰、水坑、颠簸等）。模型类型可能包括分类、回归、时间序列预测等。核心功能：数据准备与标注，模型选择与构建，训练与验证，模型评估指标</t>
  </si>
  <si>
    <t>后台开发</t>
  </si>
  <si>
    <t>车端传感器接口管理</t>
  </si>
  <si>
    <t>车内数据预处理子模块</t>
  </si>
  <si>
    <t>对车内各种数据（车速，轮速，航向角，惯量数据等）进行预处理，格式标准化/时间戳同步/异常检测，统一各传感器的数据时间戳，确保数据时间一致性</t>
  </si>
  <si>
    <t>对安装终端的出租车司机进行补贴（安装和运维过程中造成的误工，每台车100元）</t>
  </si>
  <si>
    <t>软件运行期间的运维支持，司机管理，设备在线保障，故障处理，维修更换，技术支持（热线及现场支持）</t>
  </si>
  <si>
    <t>日志文件占用资源管理</t>
  </si>
  <si>
    <t>预警模块</t>
  </si>
  <si>
    <t>定位模块</t>
  </si>
  <si>
    <t>预警交互优先级管理</t>
  </si>
  <si>
    <t>其他费用</t>
  </si>
  <si>
    <t>开发情况</t>
  </si>
  <si>
    <t>完成</t>
  </si>
  <si>
    <t>进行中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</si>
</sst>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_ * #,##0_ ;_ * \-#,##0_ ;_ * &quot;-&quot;??_ ;_ @_ "/>
  </numFmts>
  <fonts count="18" x14ac:knownFonts="1">
    <font>
      <sz val="11"/>
      <color theme="1"/>
      <name val="Calibri"/>
      <family val="2"/>
      <scheme val="minor"/>
    </font>
    <font>
      <sz val="11"/>
      <color theme="1"/>
      <name val="Calibri"/>
      <family val="2"/>
      <scheme val="minor"/>
    </font>
    <font>
      <sz val="11"/>
      <color theme="1"/>
      <name val="Calibri"/>
      <family val="2"/>
      <scheme val="minor"/>
    </font>
    <font>
      <sz val="14"/>
      <color theme="1"/>
      <name val="Calibri"/>
      <family val="2"/>
      <scheme val="minor"/>
    </font>
    <font>
      <sz val="12"/>
      <name val="Calibri"/>
      <family val="2"/>
    </font>
    <font>
      <sz val="12"/>
      <color rgb="FF000000"/>
      <name val="Calibri"/>
      <family val="2"/>
    </font>
    <font>
      <sz val="12"/>
      <color theme="1"/>
      <name val="Calibri"/>
      <family val="2"/>
      <scheme val="minor"/>
    </font>
    <font>
      <b/>
      <sz val="14"/>
      <name val="Calibri"/>
      <family val="2"/>
      <scheme val="minor"/>
    </font>
    <font>
      <sz val="12"/>
      <name val="Calibri"/>
      <family val="2"/>
      <scheme val="minor"/>
    </font>
    <font>
      <b/>
      <u/>
      <sz val="14"/>
      <name val="Calibri"/>
      <family val="2"/>
      <scheme val="minor"/>
    </font>
    <font>
      <sz val="12"/>
      <name val="Calibri"/>
      <family val="2"/>
    </font>
    <font>
      <sz val="12"/>
      <color rgb="FF000000"/>
      <name val="Calibri"/>
      <family val="2"/>
    </font>
    <font>
      <sz val="11"/>
      <color rgb="FF000000"/>
      <name val="Calibri"/>
      <family val="2"/>
    </font>
    <font>
      <b/>
      <sz val="20"/>
      <color rgb="FFFFFFFF"/>
      <name val="Calibri"/>
      <family val="2"/>
      <scheme val="minor"/>
    </font>
    <font>
      <sz val="12"/>
      <color rgb="FF000000"/>
      <name val="Calibri"/>
      <family val="2"/>
      <scheme val="minor"/>
    </font>
    <font>
      <b/>
      <sz val="14"/>
      <color theme="1"/>
      <name val="Calibri"/>
      <family val="2"/>
      <scheme val="minor"/>
    </font>
    <font>
      <b/>
      <u/>
      <sz val="14"/>
      <color theme="1"/>
      <name val="Calibri"/>
      <family val="2"/>
      <scheme val="minor"/>
    </font>
    <font>
      <u/>
      <sz val="12"/>
      <name val="Calibri"/>
      <family val="2"/>
      <scheme val="minor"/>
    </font>
  </fonts>
  <fills count="7">
    <fill>
      <patternFill patternType="none"/>
    </fill>
    <fill>
      <patternFill patternType="gray125"/>
    </fill>
    <fill>
      <patternFill patternType="solid">
        <fgColor rgb="FF538DD5"/>
        <bgColor rgb="FF000000"/>
      </patternFill>
    </fill>
    <fill>
      <patternFill patternType="solid">
        <fgColor rgb="FFDCE6F1"/>
        <bgColor rgb="FF000000"/>
      </patternFill>
    </fill>
    <fill>
      <patternFill patternType="solid">
        <fgColor theme="0"/>
        <bgColor indexed="64"/>
      </patternFill>
    </fill>
    <fill>
      <patternFill patternType="solid">
        <fgColor theme="4" tint="0.79998168889431442"/>
        <bgColor indexed="64"/>
      </patternFill>
    </fill>
    <fill>
      <patternFill patternType="solid">
        <fgColor theme="5" tint="0.79998168889431442"/>
        <bgColor indexed="64"/>
      </patternFill>
    </fill>
  </fills>
  <borders count="19">
    <border>
      <left/>
      <right/>
      <top/>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auto="1"/>
      </left>
      <right style="thin">
        <color auto="1"/>
      </right>
      <top/>
      <bottom/>
      <diagonal/>
    </border>
    <border>
      <left style="thin">
        <color indexed="64"/>
      </left>
      <right style="thin">
        <color indexed="64"/>
      </right>
      <top/>
      <bottom style="thin">
        <color rgb="FF000000"/>
      </bottom>
      <diagonal/>
    </border>
    <border>
      <left/>
      <right style="thin">
        <color auto="1"/>
      </right>
      <top style="thin">
        <color auto="1"/>
      </top>
      <bottom style="thin">
        <color auto="1"/>
      </bottom>
      <diagonal/>
    </border>
    <border>
      <left/>
      <right style="thin">
        <color indexed="64"/>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right/>
      <top style="thin">
        <color indexed="64"/>
      </top>
      <bottom style="thin">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indexed="64"/>
      </right>
      <top/>
      <bottom style="thin">
        <color rgb="FF000000"/>
      </bottom>
      <diagonal/>
    </border>
  </borders>
  <cellStyleXfs count="3">
    <xf numFmtId="0" fontId="0" fillId="0" borderId="0"/>
    <xf numFmtId="0" fontId="2" fillId="0" borderId="0">
      <alignment vertical="center"/>
    </xf>
    <xf numFmtId="164" fontId="1" fillId="0" borderId="0" applyFont="0" applyFill="0" applyBorder="0" applyAlignment="0" applyProtection="0">
      <alignment vertical="center"/>
    </xf>
  </cellStyleXfs>
  <cellXfs count="105">
    <xf numFmtId="0" fontId="0" fillId="0" borderId="0" xfId="0"/>
    <xf numFmtId="0" fontId="3" fillId="0" borderId="0" xfId="1" applyFont="1">
      <alignment vertical="center"/>
    </xf>
    <xf numFmtId="0" fontId="6" fillId="0" borderId="0" xfId="1" applyFont="1">
      <alignment vertical="center"/>
    </xf>
    <xf numFmtId="165" fontId="8" fillId="0" borderId="7" xfId="2" applyNumberFormat="1" applyFont="1" applyBorder="1" applyAlignment="1">
      <alignment horizontal="center" vertical="center" wrapText="1"/>
    </xf>
    <xf numFmtId="0" fontId="8" fillId="0" borderId="7" xfId="1" applyFont="1" applyBorder="1" applyAlignment="1">
      <alignment horizontal="center" vertical="center" wrapText="1"/>
    </xf>
    <xf numFmtId="0" fontId="8" fillId="0" borderId="7" xfId="1" applyFont="1" applyBorder="1" applyAlignment="1">
      <alignment horizontal="center" vertical="center" wrapText="1"/>
    </xf>
    <xf numFmtId="0" fontId="1" fillId="0" borderId="0" xfId="1" applyFont="1">
      <alignment vertical="center"/>
    </xf>
    <xf numFmtId="0" fontId="7" fillId="3" borderId="2" xfId="1" applyFont="1" applyFill="1" applyBorder="1" applyAlignment="1">
      <alignment vertical="center"/>
    </xf>
    <xf numFmtId="0" fontId="7" fillId="3" borderId="2" xfId="1" applyFont="1" applyFill="1" applyBorder="1" applyAlignment="1">
      <alignment vertical="center" wrapText="1"/>
    </xf>
    <xf numFmtId="0" fontId="7" fillId="3" borderId="2" xfId="1" applyFont="1" applyFill="1" applyBorder="1" applyAlignment="1">
      <alignment horizontal="center" vertical="center" wrapText="1"/>
    </xf>
    <xf numFmtId="0" fontId="14" fillId="0" borderId="2" xfId="1" applyFont="1" applyBorder="1" applyAlignment="1">
      <alignment vertical="center"/>
    </xf>
    <xf numFmtId="0" fontId="14" fillId="0" borderId="2" xfId="1" applyFont="1" applyBorder="1" applyAlignment="1">
      <alignment vertical="center" wrapText="1"/>
    </xf>
    <xf numFmtId="0" fontId="8" fillId="0" borderId="2" xfId="1" applyFont="1" applyBorder="1" applyAlignment="1">
      <alignment horizontal="center" vertical="center" wrapText="1"/>
    </xf>
    <xf numFmtId="3" fontId="8" fillId="0" borderId="2" xfId="1" applyNumberFormat="1" applyFont="1" applyBorder="1" applyAlignment="1">
      <alignment vertical="center" wrapText="1"/>
    </xf>
    <xf numFmtId="0" fontId="14" fillId="4" borderId="2" xfId="0" applyFont="1" applyFill="1" applyBorder="1" applyAlignment="1">
      <alignment vertical="center"/>
    </xf>
    <xf numFmtId="0" fontId="14" fillId="4" borderId="2" xfId="0" applyFont="1" applyFill="1" applyBorder="1" applyAlignment="1">
      <alignment vertical="center" wrapText="1"/>
    </xf>
    <xf numFmtId="0" fontId="14" fillId="0" borderId="7" xfId="1" applyFont="1" applyBorder="1" applyAlignment="1">
      <alignment vertical="center" wrapText="1"/>
    </xf>
    <xf numFmtId="3" fontId="8" fillId="0" borderId="7" xfId="1" applyNumberFormat="1" applyFont="1" applyBorder="1" applyAlignment="1">
      <alignment vertical="center" wrapText="1"/>
    </xf>
    <xf numFmtId="0" fontId="8" fillId="0" borderId="2" xfId="1" applyFont="1" applyBorder="1" applyAlignment="1">
      <alignment vertical="center" wrapText="1"/>
    </xf>
    <xf numFmtId="0" fontId="14" fillId="0" borderId="12" xfId="1" applyFont="1" applyBorder="1" applyAlignment="1">
      <alignment vertical="center" wrapText="1"/>
    </xf>
    <xf numFmtId="0" fontId="14" fillId="0" borderId="7" xfId="0" applyFont="1" applyBorder="1" applyAlignment="1">
      <alignment vertical="center" wrapText="1"/>
    </xf>
    <xf numFmtId="0" fontId="14" fillId="0" borderId="7" xfId="0" applyFont="1" applyBorder="1" applyAlignment="1">
      <alignment vertical="center"/>
    </xf>
    <xf numFmtId="0" fontId="14" fillId="0" borderId="0" xfId="1" applyFont="1" applyAlignment="1">
      <alignment vertical="center"/>
    </xf>
    <xf numFmtId="0" fontId="14" fillId="0" borderId="6" xfId="1" applyFont="1" applyBorder="1" applyAlignment="1">
      <alignment vertical="center" wrapText="1"/>
    </xf>
    <xf numFmtId="0" fontId="8" fillId="0" borderId="6" xfId="1" applyFont="1" applyBorder="1" applyAlignment="1">
      <alignment horizontal="center" vertical="center" wrapText="1"/>
    </xf>
    <xf numFmtId="0" fontId="1" fillId="0" borderId="0" xfId="1" applyFont="1" applyAlignment="1">
      <alignment vertical="center"/>
    </xf>
    <xf numFmtId="0" fontId="14" fillId="0" borderId="2" xfId="1" applyFont="1" applyBorder="1" applyAlignment="1">
      <alignment horizontal="left" wrapText="1"/>
    </xf>
    <xf numFmtId="0" fontId="7" fillId="3" borderId="2" xfId="1" applyFont="1" applyFill="1" applyBorder="1" applyAlignment="1">
      <alignment horizontal="center" vertical="center"/>
    </xf>
    <xf numFmtId="0" fontId="1" fillId="0" borderId="0" xfId="1" applyFont="1" applyAlignment="1">
      <alignment horizontal="center" vertical="center"/>
    </xf>
    <xf numFmtId="3" fontId="15" fillId="5" borderId="7" xfId="1" applyNumberFormat="1" applyFont="1" applyFill="1" applyBorder="1">
      <alignment vertical="center"/>
    </xf>
    <xf numFmtId="3" fontId="16" fillId="6" borderId="7" xfId="1" applyNumberFormat="1" applyFont="1" applyFill="1" applyBorder="1">
      <alignment vertical="center"/>
    </xf>
    <xf numFmtId="0" fontId="4" fillId="0" borderId="2" xfId="1" applyFont="1" applyFill="1" applyBorder="1" applyAlignment="1">
      <alignment horizontal="center" vertical="center" wrapText="1"/>
    </xf>
    <xf numFmtId="0" fontId="5" fillId="0" borderId="2" xfId="1" applyFont="1" applyFill="1" applyBorder="1">
      <alignment vertical="center"/>
    </xf>
    <xf numFmtId="0" fontId="5" fillId="0" borderId="2" xfId="1" applyFont="1" applyFill="1" applyBorder="1" applyAlignment="1">
      <alignment vertical="center" wrapText="1"/>
    </xf>
    <xf numFmtId="3" fontId="4" fillId="0" borderId="2" xfId="1" applyNumberFormat="1" applyFont="1" applyFill="1" applyBorder="1" applyAlignment="1">
      <alignment vertical="center" wrapText="1"/>
    </xf>
    <xf numFmtId="0" fontId="10" fillId="0" borderId="6" xfId="0" applyFont="1" applyFill="1" applyBorder="1" applyAlignment="1">
      <alignment vertical="center" wrapText="1"/>
    </xf>
    <xf numFmtId="0" fontId="11" fillId="0" borderId="6" xfId="0" applyFont="1" applyFill="1" applyBorder="1" applyAlignment="1">
      <alignment vertical="center" wrapText="1"/>
    </xf>
    <xf numFmtId="0" fontId="8" fillId="0" borderId="7" xfId="1" applyFont="1" applyFill="1" applyBorder="1" applyAlignment="1">
      <alignment horizontal="center" vertical="center" wrapText="1"/>
    </xf>
    <xf numFmtId="0" fontId="6" fillId="0" borderId="11" xfId="1" applyFont="1" applyFill="1" applyBorder="1" applyAlignment="1">
      <alignment vertical="center"/>
    </xf>
    <xf numFmtId="0" fontId="10" fillId="0" borderId="11" xfId="0" applyFont="1" applyFill="1" applyBorder="1" applyAlignment="1">
      <alignment vertical="center" wrapText="1"/>
    </xf>
    <xf numFmtId="0" fontId="11" fillId="0" borderId="11" xfId="0" applyFont="1" applyFill="1" applyBorder="1" applyAlignment="1">
      <alignment vertical="center"/>
    </xf>
    <xf numFmtId="0" fontId="11" fillId="0" borderId="11" xfId="0" applyFont="1" applyFill="1" applyBorder="1" applyAlignment="1">
      <alignment vertical="center" wrapText="1"/>
    </xf>
    <xf numFmtId="0" fontId="10" fillId="0" borderId="2" xfId="0" applyFont="1" applyFill="1" applyBorder="1" applyAlignment="1">
      <alignment vertical="center" wrapText="1"/>
    </xf>
    <xf numFmtId="0" fontId="11" fillId="0" borderId="2" xfId="0" applyFont="1" applyFill="1" applyBorder="1" applyAlignment="1">
      <alignment vertical="center" wrapText="1"/>
    </xf>
    <xf numFmtId="0" fontId="4" fillId="0" borderId="2" xfId="1" applyFont="1" applyFill="1" applyBorder="1" applyAlignment="1">
      <alignment vertical="center" wrapText="1"/>
    </xf>
    <xf numFmtId="0" fontId="8" fillId="0" borderId="1" xfId="1" applyFont="1" applyBorder="1" applyAlignment="1">
      <alignment horizontal="center" vertical="center" wrapText="1"/>
    </xf>
    <xf numFmtId="0" fontId="8" fillId="0" borderId="7" xfId="1" applyFont="1" applyBorder="1" applyAlignment="1">
      <alignment horizontal="center" vertical="center" wrapText="1"/>
    </xf>
    <xf numFmtId="0" fontId="4" fillId="0" borderId="7" xfId="1" applyFont="1" applyFill="1" applyBorder="1" applyAlignment="1">
      <alignment vertical="center" wrapText="1"/>
    </xf>
    <xf numFmtId="0" fontId="5" fillId="0" borderId="7" xfId="1" applyFont="1" applyFill="1" applyBorder="1" applyAlignment="1">
      <alignment vertical="center" wrapText="1"/>
    </xf>
    <xf numFmtId="0" fontId="5" fillId="0" borderId="7" xfId="1" applyFont="1" applyFill="1" applyBorder="1" applyAlignment="1">
      <alignment vertical="center"/>
    </xf>
    <xf numFmtId="0" fontId="8" fillId="0" borderId="7" xfId="1" applyFont="1" applyBorder="1" applyAlignment="1">
      <alignment vertical="center" wrapText="1"/>
    </xf>
    <xf numFmtId="165" fontId="8" fillId="0" borderId="7" xfId="2" applyNumberFormat="1" applyFont="1" applyFill="1" applyBorder="1" applyAlignment="1">
      <alignment horizontal="center" vertical="center" wrapText="1"/>
    </xf>
    <xf numFmtId="0" fontId="14" fillId="0" borderId="2" xfId="1" applyFont="1" applyFill="1" applyBorder="1" applyAlignment="1">
      <alignment vertical="center"/>
    </xf>
    <xf numFmtId="0" fontId="14" fillId="0" borderId="2" xfId="1" applyFont="1" applyFill="1" applyBorder="1" applyAlignment="1">
      <alignment vertical="center" wrapText="1"/>
    </xf>
    <xf numFmtId="0" fontId="8" fillId="0" borderId="1" xfId="1" applyFont="1" applyFill="1" applyBorder="1" applyAlignment="1">
      <alignment horizontal="center" vertical="center" wrapText="1"/>
    </xf>
    <xf numFmtId="3" fontId="8" fillId="0" borderId="2" xfId="1" applyNumberFormat="1" applyFont="1" applyFill="1" applyBorder="1" applyAlignment="1">
      <alignment vertical="center" wrapText="1"/>
    </xf>
    <xf numFmtId="0" fontId="8" fillId="0" borderId="2" xfId="1" applyFont="1" applyFill="1" applyBorder="1" applyAlignment="1">
      <alignment horizontal="center" vertical="center" wrapText="1"/>
    </xf>
    <xf numFmtId="0" fontId="14" fillId="0" borderId="2" xfId="0" applyFont="1" applyFill="1" applyBorder="1" applyAlignment="1">
      <alignment vertical="center"/>
    </xf>
    <xf numFmtId="0" fontId="14" fillId="0" borderId="2" xfId="0" applyFont="1" applyFill="1" applyBorder="1" applyAlignment="1">
      <alignment vertical="center" wrapText="1"/>
    </xf>
    <xf numFmtId="0" fontId="8" fillId="0" borderId="2" xfId="1" applyFont="1" applyFill="1" applyBorder="1" applyAlignment="1">
      <alignment vertical="center" wrapText="1"/>
    </xf>
    <xf numFmtId="0" fontId="4" fillId="0" borderId="2" xfId="1" applyFont="1" applyFill="1" applyBorder="1" applyAlignment="1">
      <alignment horizontal="left" vertical="center" wrapText="1"/>
    </xf>
    <xf numFmtId="0" fontId="4" fillId="0" borderId="7" xfId="1" applyFont="1" applyFill="1" applyBorder="1" applyAlignment="1">
      <alignment horizontal="center" vertical="center" wrapText="1"/>
    </xf>
    <xf numFmtId="0" fontId="7" fillId="3" borderId="1" xfId="1" applyFont="1" applyFill="1" applyBorder="1" applyAlignment="1">
      <alignment horizontal="center" vertical="center"/>
    </xf>
    <xf numFmtId="0" fontId="7" fillId="3" borderId="7" xfId="1" applyFont="1" applyFill="1" applyBorder="1" applyAlignment="1">
      <alignment horizontal="center" vertical="center" wrapText="1"/>
    </xf>
    <xf numFmtId="3" fontId="8" fillId="0" borderId="7" xfId="1" applyNumberFormat="1" applyFont="1" applyBorder="1" applyAlignment="1">
      <alignment horizontal="center" vertical="center" wrapText="1"/>
    </xf>
    <xf numFmtId="3" fontId="8" fillId="0" borderId="7" xfId="1" applyNumberFormat="1" applyFont="1" applyFill="1" applyBorder="1" applyAlignment="1">
      <alignment horizontal="center" vertical="center" wrapText="1"/>
    </xf>
    <xf numFmtId="3" fontId="15" fillId="5" borderId="7" xfId="1" applyNumberFormat="1" applyFont="1" applyFill="1" applyBorder="1" applyAlignment="1">
      <alignment horizontal="center" vertical="center"/>
    </xf>
    <xf numFmtId="3" fontId="16" fillId="6" borderId="7" xfId="1" applyNumberFormat="1" applyFont="1" applyFill="1" applyBorder="1" applyAlignment="1">
      <alignment horizontal="center" vertical="center"/>
    </xf>
    <xf numFmtId="0" fontId="8" fillId="0" borderId="9" xfId="1" applyFont="1" applyBorder="1" applyAlignment="1">
      <alignment horizontal="center" vertical="center" wrapText="1"/>
    </xf>
    <xf numFmtId="0" fontId="8" fillId="0" borderId="3" xfId="1" applyFont="1" applyBorder="1" applyAlignment="1">
      <alignment horizontal="center" vertical="center" wrapText="1"/>
    </xf>
    <xf numFmtId="0" fontId="8" fillId="0" borderId="1" xfId="1" applyFont="1" applyBorder="1" applyAlignment="1">
      <alignment horizontal="center" vertical="center" wrapText="1"/>
    </xf>
    <xf numFmtId="0" fontId="14" fillId="0" borderId="7" xfId="0" applyFont="1" applyBorder="1" applyAlignment="1">
      <alignment vertical="center"/>
    </xf>
    <xf numFmtId="0" fontId="14" fillId="0" borderId="7" xfId="0" applyFont="1" applyBorder="1" applyAlignment="1">
      <alignment horizontal="center" vertical="center"/>
    </xf>
    <xf numFmtId="0" fontId="14" fillId="0" borderId="7" xfId="0" applyFont="1" applyBorder="1" applyAlignment="1">
      <alignment vertical="center" wrapText="1"/>
    </xf>
    <xf numFmtId="0" fontId="10" fillId="0" borderId="14" xfId="0" applyFont="1" applyFill="1" applyBorder="1" applyAlignment="1">
      <alignment horizontal="center" vertical="center" wrapText="1"/>
    </xf>
    <xf numFmtId="0" fontId="10" fillId="0" borderId="15" xfId="0" applyFont="1" applyFill="1" applyBorder="1" applyAlignment="1">
      <alignment horizontal="center" vertical="center" wrapText="1"/>
    </xf>
    <xf numFmtId="0" fontId="12" fillId="0" borderId="14" xfId="0" applyFont="1" applyFill="1" applyBorder="1" applyAlignment="1">
      <alignment horizontal="center" vertical="center" wrapText="1"/>
    </xf>
    <xf numFmtId="0" fontId="7" fillId="5" borderId="7" xfId="1" applyFont="1" applyFill="1" applyBorder="1" applyAlignment="1">
      <alignment horizontal="center" vertical="top" wrapText="1"/>
    </xf>
    <xf numFmtId="0" fontId="13" fillId="2" borderId="8" xfId="1" applyFont="1" applyFill="1" applyBorder="1" applyAlignment="1">
      <alignment horizontal="center" vertical="center" wrapText="1"/>
    </xf>
    <xf numFmtId="0" fontId="13" fillId="2" borderId="13" xfId="1" applyFont="1" applyFill="1" applyBorder="1" applyAlignment="1">
      <alignment horizontal="center" vertical="center" wrapText="1"/>
    </xf>
    <xf numFmtId="0" fontId="13" fillId="2" borderId="5" xfId="1" applyFont="1" applyFill="1" applyBorder="1" applyAlignment="1">
      <alignment horizontal="center" vertical="center" wrapText="1"/>
    </xf>
    <xf numFmtId="0" fontId="8" fillId="0" borderId="9"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17" fillId="0" borderId="9" xfId="1" applyFont="1" applyBorder="1" applyAlignment="1">
      <alignment horizontal="center" vertical="center" wrapText="1"/>
    </xf>
    <xf numFmtId="0" fontId="17" fillId="0" borderId="3" xfId="1" applyFont="1" applyBorder="1" applyAlignment="1">
      <alignment horizontal="center" vertical="center" wrapText="1"/>
    </xf>
    <xf numFmtId="0" fontId="17" fillId="0" borderId="1" xfId="1" applyFont="1" applyBorder="1" applyAlignment="1">
      <alignment horizontal="center" vertical="center" wrapText="1"/>
    </xf>
    <xf numFmtId="0" fontId="8" fillId="0" borderId="4" xfId="1" applyFont="1" applyBorder="1" applyAlignment="1">
      <alignment horizontal="center" vertical="center" wrapText="1"/>
    </xf>
    <xf numFmtId="0" fontId="8" fillId="0" borderId="3" xfId="1" applyFont="1" applyFill="1" applyBorder="1" applyAlignment="1">
      <alignment horizontal="center" vertical="center" wrapText="1"/>
    </xf>
    <xf numFmtId="0" fontId="8" fillId="0" borderId="1" xfId="1" applyFont="1" applyFill="1" applyBorder="1" applyAlignment="1">
      <alignment horizontal="center" vertical="center" wrapText="1"/>
    </xf>
    <xf numFmtId="0" fontId="9" fillId="6" borderId="7" xfId="1" applyFont="1" applyFill="1" applyBorder="1" applyAlignment="1">
      <alignment horizontal="center" vertical="top" wrapText="1"/>
    </xf>
    <xf numFmtId="0" fontId="8" fillId="0" borderId="8" xfId="1" applyFont="1" applyBorder="1" applyAlignment="1">
      <alignment horizontal="left" vertical="center" wrapText="1"/>
    </xf>
    <xf numFmtId="0" fontId="8" fillId="0" borderId="5" xfId="1" applyFont="1" applyBorder="1" applyAlignment="1">
      <alignment horizontal="left" vertical="center" wrapText="1"/>
    </xf>
    <xf numFmtId="0" fontId="8" fillId="0" borderId="8" xfId="1" applyFont="1" applyFill="1" applyBorder="1" applyAlignment="1">
      <alignment horizontal="left" vertical="center" wrapText="1"/>
    </xf>
    <xf numFmtId="0" fontId="8" fillId="0" borderId="5" xfId="1" applyFont="1" applyFill="1" applyBorder="1" applyAlignment="1">
      <alignment horizontal="left" vertical="center" wrapText="1"/>
    </xf>
    <xf numFmtId="0" fontId="8" fillId="0" borderId="10" xfId="1" applyFont="1" applyBorder="1" applyAlignment="1">
      <alignment horizontal="center" vertical="center" wrapText="1"/>
    </xf>
    <xf numFmtId="0" fontId="8" fillId="0" borderId="7" xfId="1" applyFont="1" applyBorder="1" applyAlignment="1">
      <alignment horizontal="center" vertical="center" wrapText="1"/>
    </xf>
    <xf numFmtId="0" fontId="12" fillId="0" borderId="16"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0" fillId="0" borderId="14" xfId="1" applyFont="1" applyFill="1" applyBorder="1" applyAlignment="1">
      <alignment horizontal="center" vertical="center" wrapText="1"/>
    </xf>
    <xf numFmtId="0" fontId="4" fillId="0" borderId="6" xfId="1" applyFont="1" applyFill="1" applyBorder="1" applyAlignment="1">
      <alignment horizontal="center" vertical="center" wrapText="1"/>
    </xf>
    <xf numFmtId="0" fontId="4" fillId="0" borderId="18" xfId="1" applyFont="1" applyFill="1" applyBorder="1" applyAlignment="1">
      <alignment horizontal="center" vertical="center" wrapText="1"/>
    </xf>
    <xf numFmtId="0" fontId="8" fillId="0" borderId="9"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8" fillId="0" borderId="1" xfId="0" applyFont="1" applyFill="1" applyBorder="1" applyAlignment="1">
      <alignment horizontal="center" vertical="center" wrapText="1"/>
    </xf>
  </cellXfs>
  <cellStyles count="3">
    <cellStyle name="Comma 2" xfId="2" xr:uid="{1CEE3CF4-C219-4CC0-B8C1-B3AC051D1705}"/>
    <cellStyle name="Normal" xfId="0" builtinId="0"/>
    <cellStyle name="Normal 2" xfId="1" xr:uid="{5C140051-49EE-43D8-8F60-A16DDCCA0B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5FC49-F0BA-4719-A4B7-1CF9938CF759}">
  <dimension ref="B1:J97"/>
  <sheetViews>
    <sheetView tabSelected="1" topLeftCell="A82" zoomScale="70" zoomScaleNormal="70" workbookViewId="0">
      <selection activeCell="H7" sqref="H7"/>
    </sheetView>
  </sheetViews>
  <sheetFormatPr defaultColWidth="8.77734375" defaultRowHeight="14.4" x14ac:dyDescent="0.3"/>
  <cols>
    <col min="1" max="1" width="7.21875" style="6" customWidth="1"/>
    <col min="2" max="2" width="8.77734375" style="6" customWidth="1"/>
    <col min="3" max="3" width="25.88671875" style="6" bestFit="1" customWidth="1"/>
    <col min="4" max="4" width="23.77734375" style="28" bestFit="1" customWidth="1"/>
    <col min="5" max="5" width="44.21875" style="25" bestFit="1" customWidth="1"/>
    <col min="6" max="6" width="63.44140625" style="25" customWidth="1"/>
    <col min="7" max="7" width="10.5546875" style="6" customWidth="1"/>
    <col min="8" max="10" width="12.21875" style="6" customWidth="1"/>
    <col min="11" max="16384" width="8.77734375" style="6"/>
  </cols>
  <sheetData>
    <row r="1" spans="2:10" ht="34.049999999999997" customHeight="1" x14ac:dyDescent="0.3">
      <c r="B1" s="78" t="s">
        <v>0</v>
      </c>
      <c r="C1" s="79"/>
      <c r="D1" s="79"/>
      <c r="E1" s="79"/>
      <c r="F1" s="79"/>
      <c r="G1" s="79"/>
      <c r="H1" s="79"/>
      <c r="I1" s="79"/>
      <c r="J1" s="80"/>
    </row>
    <row r="2" spans="2:10" s="1" customFormat="1" ht="36" x14ac:dyDescent="0.3">
      <c r="B2" s="62" t="s">
        <v>1</v>
      </c>
      <c r="C2" s="27" t="s">
        <v>2</v>
      </c>
      <c r="D2" s="27" t="s">
        <v>3</v>
      </c>
      <c r="E2" s="7" t="s">
        <v>4</v>
      </c>
      <c r="F2" s="8" t="s">
        <v>5</v>
      </c>
      <c r="G2" s="9" t="s">
        <v>6</v>
      </c>
      <c r="H2" s="9" t="s">
        <v>7</v>
      </c>
      <c r="I2" s="9" t="s">
        <v>8</v>
      </c>
      <c r="J2" s="63" t="s">
        <v>196</v>
      </c>
    </row>
    <row r="3" spans="2:10" s="2" customFormat="1" ht="46.8" x14ac:dyDescent="0.3">
      <c r="B3" s="68">
        <v>1</v>
      </c>
      <c r="C3" s="69" t="s">
        <v>9</v>
      </c>
      <c r="D3" s="69" t="s">
        <v>10</v>
      </c>
      <c r="E3" s="10" t="s">
        <v>186</v>
      </c>
      <c r="F3" s="11" t="s">
        <v>11</v>
      </c>
      <c r="G3" s="12">
        <v>2</v>
      </c>
      <c r="H3" s="13">
        <v>23600</v>
      </c>
      <c r="I3" s="13">
        <f>G3*H3</f>
        <v>47200</v>
      </c>
      <c r="J3" s="64" t="s">
        <v>197</v>
      </c>
    </row>
    <row r="4" spans="2:10" s="2" customFormat="1" ht="46.8" x14ac:dyDescent="0.3">
      <c r="B4" s="69"/>
      <c r="C4" s="69"/>
      <c r="D4" s="69"/>
      <c r="E4" s="10" t="s">
        <v>187</v>
      </c>
      <c r="F4" s="11" t="s">
        <v>188</v>
      </c>
      <c r="G4" s="12">
        <v>4</v>
      </c>
      <c r="H4" s="13">
        <v>23600</v>
      </c>
      <c r="I4" s="13">
        <f t="shared" ref="I4:I36" si="0">G4*H4</f>
        <v>94400</v>
      </c>
      <c r="J4" s="64" t="s">
        <v>197</v>
      </c>
    </row>
    <row r="5" spans="2:10" s="2" customFormat="1" ht="15.6" x14ac:dyDescent="0.3">
      <c r="B5" s="69"/>
      <c r="C5" s="69"/>
      <c r="D5" s="69"/>
      <c r="E5" s="10" t="s">
        <v>12</v>
      </c>
      <c r="F5" s="11" t="s">
        <v>13</v>
      </c>
      <c r="G5" s="12">
        <v>4</v>
      </c>
      <c r="H5" s="13">
        <v>23600</v>
      </c>
      <c r="I5" s="13">
        <f t="shared" si="0"/>
        <v>94400</v>
      </c>
      <c r="J5" s="64" t="s">
        <v>197</v>
      </c>
    </row>
    <row r="6" spans="2:10" s="2" customFormat="1" ht="15.6" x14ac:dyDescent="0.3">
      <c r="B6" s="69"/>
      <c r="C6" s="69"/>
      <c r="D6" s="69"/>
      <c r="E6" s="14" t="s">
        <v>87</v>
      </c>
      <c r="F6" s="15" t="s">
        <v>88</v>
      </c>
      <c r="G6" s="12">
        <v>4</v>
      </c>
      <c r="H6" s="13">
        <v>23600</v>
      </c>
      <c r="I6" s="13">
        <f t="shared" si="0"/>
        <v>94400</v>
      </c>
      <c r="J6" s="64" t="s">
        <v>197</v>
      </c>
    </row>
    <row r="7" spans="2:10" s="2" customFormat="1" ht="15.6" x14ac:dyDescent="0.3">
      <c r="B7" s="69"/>
      <c r="C7" s="69"/>
      <c r="D7" s="69"/>
      <c r="E7" s="14" t="s">
        <v>89</v>
      </c>
      <c r="F7" s="15" t="s">
        <v>90</v>
      </c>
      <c r="G7" s="12">
        <v>4</v>
      </c>
      <c r="H7" s="13">
        <v>23600</v>
      </c>
      <c r="I7" s="13">
        <f t="shared" si="0"/>
        <v>94400</v>
      </c>
      <c r="J7" s="64" t="s">
        <v>197</v>
      </c>
    </row>
    <row r="8" spans="2:10" s="2" customFormat="1" ht="15.6" x14ac:dyDescent="0.3">
      <c r="B8" s="69"/>
      <c r="C8" s="69"/>
      <c r="D8" s="69"/>
      <c r="E8" s="14" t="s">
        <v>25</v>
      </c>
      <c r="F8" s="15" t="s">
        <v>91</v>
      </c>
      <c r="G8" s="12">
        <v>4</v>
      </c>
      <c r="H8" s="13">
        <v>23600</v>
      </c>
      <c r="I8" s="13">
        <f t="shared" si="0"/>
        <v>94400</v>
      </c>
      <c r="J8" s="64" t="s">
        <v>197</v>
      </c>
    </row>
    <row r="9" spans="2:10" s="2" customFormat="1" ht="15.6" x14ac:dyDescent="0.3">
      <c r="B9" s="69"/>
      <c r="C9" s="69"/>
      <c r="D9" s="69"/>
      <c r="E9" s="10" t="s">
        <v>14</v>
      </c>
      <c r="F9" s="11" t="s">
        <v>15</v>
      </c>
      <c r="G9" s="12">
        <v>8</v>
      </c>
      <c r="H9" s="13">
        <v>23600</v>
      </c>
      <c r="I9" s="13">
        <f t="shared" si="0"/>
        <v>188800</v>
      </c>
      <c r="J9" s="64" t="s">
        <v>197</v>
      </c>
    </row>
    <row r="10" spans="2:10" s="2" customFormat="1" ht="31.2" x14ac:dyDescent="0.3">
      <c r="B10" s="69"/>
      <c r="C10" s="69"/>
      <c r="D10" s="69"/>
      <c r="E10" s="10" t="s">
        <v>16</v>
      </c>
      <c r="F10" s="16" t="s">
        <v>17</v>
      </c>
      <c r="G10" s="4">
        <v>8</v>
      </c>
      <c r="H10" s="17">
        <v>23600</v>
      </c>
      <c r="I10" s="17">
        <f t="shared" si="0"/>
        <v>188800</v>
      </c>
      <c r="J10" s="64" t="s">
        <v>197</v>
      </c>
    </row>
    <row r="11" spans="2:10" s="2" customFormat="1" ht="15.6" x14ac:dyDescent="0.3">
      <c r="B11" s="69"/>
      <c r="C11" s="69"/>
      <c r="D11" s="69"/>
      <c r="E11" s="18" t="s">
        <v>18</v>
      </c>
      <c r="F11" s="16" t="s">
        <v>19</v>
      </c>
      <c r="G11" s="4">
        <v>4</v>
      </c>
      <c r="H11" s="17">
        <v>23600</v>
      </c>
      <c r="I11" s="17">
        <f>G11*H11</f>
        <v>94400</v>
      </c>
      <c r="J11" s="64" t="s">
        <v>197</v>
      </c>
    </row>
    <row r="12" spans="2:10" s="2" customFormat="1" ht="15.6" x14ac:dyDescent="0.3">
      <c r="B12" s="69"/>
      <c r="C12" s="69"/>
      <c r="D12" s="69"/>
      <c r="E12" s="18" t="s">
        <v>120</v>
      </c>
      <c r="F12" s="16" t="s">
        <v>121</v>
      </c>
      <c r="G12" s="4">
        <v>2</v>
      </c>
      <c r="H12" s="17">
        <v>23600</v>
      </c>
      <c r="I12" s="17">
        <f t="shared" ref="I12:I17" si="1">G12*H12</f>
        <v>47200</v>
      </c>
      <c r="J12" s="64" t="s">
        <v>197</v>
      </c>
    </row>
    <row r="13" spans="2:10" s="2" customFormat="1" ht="15.6" x14ac:dyDescent="0.3">
      <c r="B13" s="69"/>
      <c r="C13" s="69"/>
      <c r="D13" s="69"/>
      <c r="E13" s="18" t="s">
        <v>125</v>
      </c>
      <c r="F13" s="16" t="s">
        <v>130</v>
      </c>
      <c r="G13" s="4">
        <v>2</v>
      </c>
      <c r="H13" s="17">
        <v>23600</v>
      </c>
      <c r="I13" s="17">
        <f t="shared" si="1"/>
        <v>47200</v>
      </c>
      <c r="J13" s="64" t="s">
        <v>197</v>
      </c>
    </row>
    <row r="14" spans="2:10" s="2" customFormat="1" ht="15.6" x14ac:dyDescent="0.3">
      <c r="B14" s="69"/>
      <c r="C14" s="69"/>
      <c r="D14" s="69"/>
      <c r="E14" s="18" t="s">
        <v>128</v>
      </c>
      <c r="F14" s="16" t="s">
        <v>129</v>
      </c>
      <c r="G14" s="4">
        <v>2</v>
      </c>
      <c r="H14" s="17">
        <v>23600</v>
      </c>
      <c r="I14" s="17">
        <f t="shared" si="1"/>
        <v>47200</v>
      </c>
      <c r="J14" s="64" t="s">
        <v>197</v>
      </c>
    </row>
    <row r="15" spans="2:10" s="2" customFormat="1" ht="15.6" x14ac:dyDescent="0.3">
      <c r="B15" s="69"/>
      <c r="C15" s="69"/>
      <c r="D15" s="87"/>
      <c r="E15" s="18" t="s">
        <v>126</v>
      </c>
      <c r="F15" s="19" t="s">
        <v>127</v>
      </c>
      <c r="G15" s="4">
        <v>6</v>
      </c>
      <c r="H15" s="17">
        <v>23600</v>
      </c>
      <c r="I15" s="17">
        <f t="shared" si="1"/>
        <v>141600</v>
      </c>
      <c r="J15" s="64" t="s">
        <v>197</v>
      </c>
    </row>
    <row r="16" spans="2:10" s="2" customFormat="1" ht="15.6" x14ac:dyDescent="0.3">
      <c r="B16" s="69"/>
      <c r="C16" s="69"/>
      <c r="D16" s="69" t="s">
        <v>20</v>
      </c>
      <c r="E16" s="10" t="s">
        <v>21</v>
      </c>
      <c r="F16" s="11" t="s">
        <v>22</v>
      </c>
      <c r="G16" s="12">
        <v>2</v>
      </c>
      <c r="H16" s="17">
        <v>23600</v>
      </c>
      <c r="I16" s="17">
        <f t="shared" si="1"/>
        <v>47200</v>
      </c>
      <c r="J16" s="64" t="s">
        <v>197</v>
      </c>
    </row>
    <row r="17" spans="2:10" s="2" customFormat="1" ht="31.2" x14ac:dyDescent="0.3">
      <c r="B17" s="69"/>
      <c r="C17" s="69"/>
      <c r="D17" s="69"/>
      <c r="E17" s="10" t="s">
        <v>23</v>
      </c>
      <c r="F17" s="11" t="s">
        <v>24</v>
      </c>
      <c r="G17" s="12">
        <v>8</v>
      </c>
      <c r="H17" s="13">
        <v>23600</v>
      </c>
      <c r="I17" s="17">
        <f t="shared" si="1"/>
        <v>188800</v>
      </c>
      <c r="J17" s="64" t="s">
        <v>197</v>
      </c>
    </row>
    <row r="18" spans="2:10" s="2" customFormat="1" ht="15.6" x14ac:dyDescent="0.3">
      <c r="B18" s="69"/>
      <c r="C18" s="69"/>
      <c r="D18" s="69"/>
      <c r="E18" s="14" t="s">
        <v>92</v>
      </c>
      <c r="F18" s="15" t="s">
        <v>93</v>
      </c>
      <c r="G18" s="12">
        <v>2</v>
      </c>
      <c r="H18" s="13">
        <v>23600</v>
      </c>
      <c r="I18" s="13">
        <f t="shared" si="0"/>
        <v>47200</v>
      </c>
      <c r="J18" s="64" t="s">
        <v>197</v>
      </c>
    </row>
    <row r="19" spans="2:10" s="2" customFormat="1" ht="15.6" x14ac:dyDescent="0.3">
      <c r="B19" s="69"/>
      <c r="C19" s="69"/>
      <c r="D19" s="69"/>
      <c r="E19" s="14" t="s">
        <v>94</v>
      </c>
      <c r="F19" s="15" t="s">
        <v>95</v>
      </c>
      <c r="G19" s="12">
        <v>2</v>
      </c>
      <c r="H19" s="13">
        <v>23600</v>
      </c>
      <c r="I19" s="13">
        <f t="shared" si="0"/>
        <v>47200</v>
      </c>
      <c r="J19" s="64" t="s">
        <v>197</v>
      </c>
    </row>
    <row r="20" spans="2:10" s="2" customFormat="1" ht="15.6" x14ac:dyDescent="0.3">
      <c r="B20" s="69"/>
      <c r="C20" s="69"/>
      <c r="D20" s="69"/>
      <c r="E20" s="14" t="s">
        <v>96</v>
      </c>
      <c r="F20" s="15" t="s">
        <v>97</v>
      </c>
      <c r="G20" s="12">
        <v>2</v>
      </c>
      <c r="H20" s="13">
        <v>23600</v>
      </c>
      <c r="I20" s="13">
        <f t="shared" si="0"/>
        <v>47200</v>
      </c>
      <c r="J20" s="64" t="s">
        <v>197</v>
      </c>
    </row>
    <row r="21" spans="2:10" s="2" customFormat="1" ht="15.6" x14ac:dyDescent="0.3">
      <c r="B21" s="69"/>
      <c r="C21" s="69"/>
      <c r="D21" s="69"/>
      <c r="E21" s="10" t="s">
        <v>25</v>
      </c>
      <c r="F21" s="11" t="s">
        <v>26</v>
      </c>
      <c r="G21" s="12">
        <v>2</v>
      </c>
      <c r="H21" s="13">
        <v>23600</v>
      </c>
      <c r="I21" s="13">
        <f t="shared" si="0"/>
        <v>47200</v>
      </c>
      <c r="J21" s="64" t="s">
        <v>197</v>
      </c>
    </row>
    <row r="22" spans="2:10" s="2" customFormat="1" ht="15.6" x14ac:dyDescent="0.3">
      <c r="B22" s="69"/>
      <c r="C22" s="69"/>
      <c r="D22" s="70"/>
      <c r="E22" s="10" t="s">
        <v>27</v>
      </c>
      <c r="F22" s="11" t="s">
        <v>28</v>
      </c>
      <c r="G22" s="12">
        <v>2</v>
      </c>
      <c r="H22" s="13">
        <v>23600</v>
      </c>
      <c r="I22" s="13">
        <f t="shared" si="0"/>
        <v>47200</v>
      </c>
      <c r="J22" s="64" t="s">
        <v>197</v>
      </c>
    </row>
    <row r="23" spans="2:10" s="2" customFormat="1" ht="60.45" customHeight="1" x14ac:dyDescent="0.3">
      <c r="B23" s="69"/>
      <c r="C23" s="69"/>
      <c r="D23" s="88" t="s">
        <v>192</v>
      </c>
      <c r="E23" s="52" t="s">
        <v>194</v>
      </c>
      <c r="F23" s="53" t="s">
        <v>29</v>
      </c>
      <c r="G23" s="54">
        <v>4</v>
      </c>
      <c r="H23" s="55">
        <v>23600</v>
      </c>
      <c r="I23" s="55">
        <f t="shared" si="0"/>
        <v>94400</v>
      </c>
      <c r="J23" s="64" t="s">
        <v>197</v>
      </c>
    </row>
    <row r="24" spans="2:10" s="2" customFormat="1" ht="31.2" x14ac:dyDescent="0.3">
      <c r="B24" s="69"/>
      <c r="C24" s="69"/>
      <c r="D24" s="88"/>
      <c r="E24" s="52" t="s">
        <v>30</v>
      </c>
      <c r="F24" s="53" t="s">
        <v>31</v>
      </c>
      <c r="G24" s="56">
        <v>2</v>
      </c>
      <c r="H24" s="55">
        <v>23600</v>
      </c>
      <c r="I24" s="55">
        <f t="shared" si="0"/>
        <v>47200</v>
      </c>
      <c r="J24" s="64" t="s">
        <v>197</v>
      </c>
    </row>
    <row r="25" spans="2:10" s="2" customFormat="1" ht="47.25" customHeight="1" x14ac:dyDescent="0.3">
      <c r="B25" s="69"/>
      <c r="C25" s="69"/>
      <c r="D25" s="88"/>
      <c r="E25" s="52" t="s">
        <v>32</v>
      </c>
      <c r="F25" s="53" t="s">
        <v>33</v>
      </c>
      <c r="G25" s="56">
        <v>3</v>
      </c>
      <c r="H25" s="55">
        <v>23600</v>
      </c>
      <c r="I25" s="55">
        <f t="shared" si="0"/>
        <v>70800</v>
      </c>
      <c r="J25" s="65" t="s">
        <v>197</v>
      </c>
    </row>
    <row r="26" spans="2:10" s="2" customFormat="1" ht="15.6" x14ac:dyDescent="0.3">
      <c r="B26" s="69"/>
      <c r="C26" s="69"/>
      <c r="D26" s="88"/>
      <c r="E26" s="57" t="s">
        <v>193</v>
      </c>
      <c r="F26" s="58" t="s">
        <v>98</v>
      </c>
      <c r="G26" s="56">
        <v>2</v>
      </c>
      <c r="H26" s="55">
        <v>23600</v>
      </c>
      <c r="I26" s="55">
        <f t="shared" si="0"/>
        <v>47200</v>
      </c>
      <c r="J26" s="64" t="s">
        <v>197</v>
      </c>
    </row>
    <row r="27" spans="2:10" s="2" customFormat="1" ht="15.6" x14ac:dyDescent="0.3">
      <c r="B27" s="69"/>
      <c r="C27" s="69"/>
      <c r="D27" s="88"/>
      <c r="E27" s="57" t="s">
        <v>99</v>
      </c>
      <c r="F27" s="58" t="s">
        <v>100</v>
      </c>
      <c r="G27" s="56">
        <v>2</v>
      </c>
      <c r="H27" s="55">
        <v>23600</v>
      </c>
      <c r="I27" s="55">
        <f t="shared" si="0"/>
        <v>47200</v>
      </c>
      <c r="J27" s="64" t="s">
        <v>197</v>
      </c>
    </row>
    <row r="28" spans="2:10" s="2" customFormat="1" ht="15.6" x14ac:dyDescent="0.3">
      <c r="B28" s="69"/>
      <c r="C28" s="69"/>
      <c r="D28" s="88"/>
      <c r="E28" s="57" t="s">
        <v>101</v>
      </c>
      <c r="F28" s="58" t="s">
        <v>102</v>
      </c>
      <c r="G28" s="56">
        <v>2</v>
      </c>
      <c r="H28" s="55">
        <v>23600</v>
      </c>
      <c r="I28" s="55">
        <f t="shared" si="0"/>
        <v>47200</v>
      </c>
      <c r="J28" s="64" t="s">
        <v>197</v>
      </c>
    </row>
    <row r="29" spans="2:10" s="2" customFormat="1" ht="31.2" x14ac:dyDescent="0.3">
      <c r="B29" s="70"/>
      <c r="C29" s="87"/>
      <c r="D29" s="89"/>
      <c r="E29" s="59" t="s">
        <v>34</v>
      </c>
      <c r="F29" s="53" t="s">
        <v>35</v>
      </c>
      <c r="G29" s="56">
        <v>2</v>
      </c>
      <c r="H29" s="55">
        <v>23000</v>
      </c>
      <c r="I29" s="55">
        <f t="shared" si="0"/>
        <v>46000</v>
      </c>
      <c r="J29" s="65" t="s">
        <v>197</v>
      </c>
    </row>
    <row r="30" spans="2:10" s="2" customFormat="1" ht="18" x14ac:dyDescent="0.3">
      <c r="B30" s="77" t="s">
        <v>81</v>
      </c>
      <c r="C30" s="77"/>
      <c r="D30" s="77"/>
      <c r="E30" s="77"/>
      <c r="F30" s="77"/>
      <c r="G30" s="77"/>
      <c r="H30" s="77"/>
      <c r="I30" s="29">
        <f>SUM(I3:I29)</f>
        <v>2146400</v>
      </c>
      <c r="J30" s="66"/>
    </row>
    <row r="31" spans="2:10" s="2" customFormat="1" ht="18" customHeight="1" x14ac:dyDescent="0.3">
      <c r="B31" s="95">
        <v>2</v>
      </c>
      <c r="C31" s="95" t="s">
        <v>36</v>
      </c>
      <c r="D31" s="68" t="s">
        <v>37</v>
      </c>
      <c r="E31" s="18" t="s">
        <v>38</v>
      </c>
      <c r="F31" s="11" t="s">
        <v>39</v>
      </c>
      <c r="G31" s="12">
        <v>0.5</v>
      </c>
      <c r="H31" s="13">
        <v>23000</v>
      </c>
      <c r="I31" s="13">
        <f t="shared" si="0"/>
        <v>11500</v>
      </c>
      <c r="J31" s="64" t="s">
        <v>197</v>
      </c>
    </row>
    <row r="32" spans="2:10" s="2" customFormat="1" ht="15.6" x14ac:dyDescent="0.3">
      <c r="B32" s="69"/>
      <c r="C32" s="69"/>
      <c r="D32" s="69"/>
      <c r="E32" s="18" t="s">
        <v>40</v>
      </c>
      <c r="F32" s="11" t="s">
        <v>41</v>
      </c>
      <c r="G32" s="12">
        <v>0.5</v>
      </c>
      <c r="H32" s="13">
        <v>23000</v>
      </c>
      <c r="I32" s="13">
        <f t="shared" si="0"/>
        <v>11500</v>
      </c>
      <c r="J32" s="64" t="s">
        <v>197</v>
      </c>
    </row>
    <row r="33" spans="2:10" s="2" customFormat="1" ht="31.2" x14ac:dyDescent="0.3">
      <c r="B33" s="69"/>
      <c r="C33" s="69"/>
      <c r="D33" s="69"/>
      <c r="E33" s="18" t="s">
        <v>169</v>
      </c>
      <c r="F33" s="11" t="s">
        <v>42</v>
      </c>
      <c r="G33" s="12">
        <v>1</v>
      </c>
      <c r="H33" s="13">
        <v>23000</v>
      </c>
      <c r="I33" s="13">
        <f t="shared" si="0"/>
        <v>23000</v>
      </c>
      <c r="J33" s="64" t="s">
        <v>197</v>
      </c>
    </row>
    <row r="34" spans="2:10" s="2" customFormat="1" ht="31.2" x14ac:dyDescent="0.3">
      <c r="B34" s="69"/>
      <c r="C34" s="69"/>
      <c r="D34" s="95" t="s">
        <v>43</v>
      </c>
      <c r="E34" s="18" t="s">
        <v>44</v>
      </c>
      <c r="F34" s="11" t="s">
        <v>124</v>
      </c>
      <c r="G34" s="12">
        <v>1</v>
      </c>
      <c r="H34" s="13">
        <v>23000</v>
      </c>
      <c r="I34" s="13">
        <f t="shared" si="0"/>
        <v>23000</v>
      </c>
      <c r="J34" s="64" t="s">
        <v>197</v>
      </c>
    </row>
    <row r="35" spans="2:10" s="2" customFormat="1" ht="15.6" x14ac:dyDescent="0.3">
      <c r="B35" s="69"/>
      <c r="C35" s="69"/>
      <c r="D35" s="87"/>
      <c r="E35" s="18" t="s">
        <v>45</v>
      </c>
      <c r="F35" s="11" t="s">
        <v>46</v>
      </c>
      <c r="G35" s="12">
        <v>0.5</v>
      </c>
      <c r="H35" s="13">
        <v>23000</v>
      </c>
      <c r="I35" s="13">
        <f t="shared" si="0"/>
        <v>11500</v>
      </c>
      <c r="J35" s="64" t="s">
        <v>197</v>
      </c>
    </row>
    <row r="36" spans="2:10" s="2" customFormat="1" ht="15.6" x14ac:dyDescent="0.3">
      <c r="B36" s="70"/>
      <c r="C36" s="70"/>
      <c r="D36" s="45" t="s">
        <v>47</v>
      </c>
      <c r="E36" s="18" t="s">
        <v>48</v>
      </c>
      <c r="F36" s="26" t="s">
        <v>178</v>
      </c>
      <c r="G36" s="12">
        <v>0.5</v>
      </c>
      <c r="H36" s="13">
        <v>23000</v>
      </c>
      <c r="I36" s="13">
        <f t="shared" si="0"/>
        <v>11500</v>
      </c>
      <c r="J36" s="64" t="s">
        <v>197</v>
      </c>
    </row>
    <row r="37" spans="2:10" s="2" customFormat="1" ht="18" x14ac:dyDescent="0.3">
      <c r="B37" s="77" t="s">
        <v>81</v>
      </c>
      <c r="C37" s="77"/>
      <c r="D37" s="77"/>
      <c r="E37" s="77"/>
      <c r="F37" s="77"/>
      <c r="G37" s="77"/>
      <c r="H37" s="77"/>
      <c r="I37" s="29">
        <f>SUM(I31:I36)</f>
        <v>92000</v>
      </c>
      <c r="J37" s="66"/>
    </row>
    <row r="38" spans="2:10" s="2" customFormat="1" ht="16.05" customHeight="1" x14ac:dyDescent="0.3">
      <c r="B38" s="84">
        <v>3</v>
      </c>
      <c r="C38" s="81" t="s">
        <v>165</v>
      </c>
      <c r="D38" s="72" t="s">
        <v>131</v>
      </c>
      <c r="E38" s="71" t="s">
        <v>132</v>
      </c>
      <c r="F38" s="20" t="s">
        <v>170</v>
      </c>
      <c r="G38" s="4">
        <v>0.25</v>
      </c>
      <c r="H38" s="17">
        <v>23000</v>
      </c>
      <c r="I38" s="17">
        <f>G38*H38</f>
        <v>5750</v>
      </c>
      <c r="J38" s="64" t="s">
        <v>197</v>
      </c>
    </row>
    <row r="39" spans="2:10" s="2" customFormat="1" ht="15.6" x14ac:dyDescent="0.3">
      <c r="B39" s="85"/>
      <c r="C39" s="82"/>
      <c r="D39" s="72"/>
      <c r="E39" s="71"/>
      <c r="F39" s="20" t="s">
        <v>133</v>
      </c>
      <c r="G39" s="46">
        <v>0.25</v>
      </c>
      <c r="H39" s="17">
        <v>23000</v>
      </c>
      <c r="I39" s="17">
        <f t="shared" ref="I39:I92" si="2">G39*H39</f>
        <v>5750</v>
      </c>
      <c r="J39" s="64" t="s">
        <v>197</v>
      </c>
    </row>
    <row r="40" spans="2:10" s="2" customFormat="1" ht="31.2" x14ac:dyDescent="0.3">
      <c r="B40" s="85"/>
      <c r="C40" s="82"/>
      <c r="D40" s="72"/>
      <c r="E40" s="71" t="s">
        <v>164</v>
      </c>
      <c r="F40" s="20" t="s">
        <v>171</v>
      </c>
      <c r="G40" s="46">
        <v>0.25</v>
      </c>
      <c r="H40" s="17">
        <v>23000</v>
      </c>
      <c r="I40" s="17">
        <f t="shared" si="2"/>
        <v>5750</v>
      </c>
      <c r="J40" s="64" t="s">
        <v>197</v>
      </c>
    </row>
    <row r="41" spans="2:10" s="2" customFormat="1" ht="31.2" x14ac:dyDescent="0.3">
      <c r="B41" s="85"/>
      <c r="C41" s="82"/>
      <c r="D41" s="72"/>
      <c r="E41" s="71"/>
      <c r="F41" s="20" t="s">
        <v>172</v>
      </c>
      <c r="G41" s="46">
        <v>0.25</v>
      </c>
      <c r="H41" s="17">
        <v>23000</v>
      </c>
      <c r="I41" s="17">
        <f t="shared" si="2"/>
        <v>5750</v>
      </c>
      <c r="J41" s="64" t="s">
        <v>197</v>
      </c>
    </row>
    <row r="42" spans="2:10" s="2" customFormat="1" ht="31.2" x14ac:dyDescent="0.3">
      <c r="B42" s="85"/>
      <c r="C42" s="82"/>
      <c r="D42" s="72"/>
      <c r="E42" s="21" t="s">
        <v>134</v>
      </c>
      <c r="F42" s="20" t="s">
        <v>173</v>
      </c>
      <c r="G42" s="46">
        <v>0.25</v>
      </c>
      <c r="H42" s="17">
        <v>23000</v>
      </c>
      <c r="I42" s="17">
        <f t="shared" si="2"/>
        <v>5750</v>
      </c>
      <c r="J42" s="64" t="s">
        <v>197</v>
      </c>
    </row>
    <row r="43" spans="2:10" s="2" customFormat="1" ht="15.6" x14ac:dyDescent="0.3">
      <c r="B43" s="85"/>
      <c r="C43" s="82"/>
      <c r="D43" s="72" t="s">
        <v>174</v>
      </c>
      <c r="E43" s="71" t="s">
        <v>135</v>
      </c>
      <c r="F43" s="20" t="s">
        <v>175</v>
      </c>
      <c r="G43" s="46">
        <v>0.25</v>
      </c>
      <c r="H43" s="17">
        <v>23000</v>
      </c>
      <c r="I43" s="17">
        <f t="shared" si="2"/>
        <v>5750</v>
      </c>
      <c r="J43" s="64" t="s">
        <v>197</v>
      </c>
    </row>
    <row r="44" spans="2:10" s="2" customFormat="1" ht="15.6" x14ac:dyDescent="0.3">
      <c r="B44" s="85"/>
      <c r="C44" s="82"/>
      <c r="D44" s="72"/>
      <c r="E44" s="71"/>
      <c r="F44" s="20" t="s">
        <v>176</v>
      </c>
      <c r="G44" s="46">
        <v>0.25</v>
      </c>
      <c r="H44" s="17">
        <v>23000</v>
      </c>
      <c r="I44" s="17">
        <f t="shared" si="2"/>
        <v>5750</v>
      </c>
      <c r="J44" s="64" t="s">
        <v>197</v>
      </c>
    </row>
    <row r="45" spans="2:10" s="2" customFormat="1" ht="15.6" x14ac:dyDescent="0.3">
      <c r="B45" s="85"/>
      <c r="C45" s="82"/>
      <c r="D45" s="72"/>
      <c r="E45" s="71"/>
      <c r="F45" s="21" t="s">
        <v>136</v>
      </c>
      <c r="G45" s="46">
        <v>0.25</v>
      </c>
      <c r="H45" s="17">
        <v>23000</v>
      </c>
      <c r="I45" s="17">
        <f t="shared" si="2"/>
        <v>5750</v>
      </c>
      <c r="J45" s="64" t="s">
        <v>197</v>
      </c>
    </row>
    <row r="46" spans="2:10" s="2" customFormat="1" ht="15.6" x14ac:dyDescent="0.3">
      <c r="B46" s="85"/>
      <c r="C46" s="82"/>
      <c r="D46" s="72" t="s">
        <v>137</v>
      </c>
      <c r="E46" s="71" t="s">
        <v>138</v>
      </c>
      <c r="F46" s="20" t="s">
        <v>139</v>
      </c>
      <c r="G46" s="46">
        <v>0.25</v>
      </c>
      <c r="H46" s="17">
        <v>23000</v>
      </c>
      <c r="I46" s="17">
        <f t="shared" si="2"/>
        <v>5750</v>
      </c>
      <c r="J46" s="64" t="s">
        <v>197</v>
      </c>
    </row>
    <row r="47" spans="2:10" s="2" customFormat="1" ht="15.6" x14ac:dyDescent="0.3">
      <c r="B47" s="85"/>
      <c r="C47" s="82"/>
      <c r="D47" s="72"/>
      <c r="E47" s="71"/>
      <c r="F47" s="20" t="s">
        <v>140</v>
      </c>
      <c r="G47" s="46">
        <v>0.25</v>
      </c>
      <c r="H47" s="17">
        <v>23000</v>
      </c>
      <c r="I47" s="17">
        <f t="shared" si="2"/>
        <v>5750</v>
      </c>
      <c r="J47" s="64" t="s">
        <v>197</v>
      </c>
    </row>
    <row r="48" spans="2:10" s="2" customFormat="1" ht="15.6" x14ac:dyDescent="0.3">
      <c r="B48" s="85"/>
      <c r="C48" s="82"/>
      <c r="D48" s="72"/>
      <c r="E48" s="73" t="s">
        <v>141</v>
      </c>
      <c r="F48" s="20" t="s">
        <v>177</v>
      </c>
      <c r="G48" s="46">
        <v>0.25</v>
      </c>
      <c r="H48" s="17">
        <v>23000</v>
      </c>
      <c r="I48" s="17">
        <f t="shared" si="2"/>
        <v>5750</v>
      </c>
      <c r="J48" s="64" t="s">
        <v>197</v>
      </c>
    </row>
    <row r="49" spans="2:10" s="2" customFormat="1" ht="15.6" x14ac:dyDescent="0.3">
      <c r="B49" s="85"/>
      <c r="C49" s="82"/>
      <c r="D49" s="72"/>
      <c r="E49" s="73"/>
      <c r="F49" s="20" t="s">
        <v>142</v>
      </c>
      <c r="G49" s="46">
        <v>0.25</v>
      </c>
      <c r="H49" s="17">
        <v>23000</v>
      </c>
      <c r="I49" s="17">
        <f t="shared" si="2"/>
        <v>5750</v>
      </c>
      <c r="J49" s="64" t="s">
        <v>197</v>
      </c>
    </row>
    <row r="50" spans="2:10" s="2" customFormat="1" ht="15.6" x14ac:dyDescent="0.3">
      <c r="B50" s="85"/>
      <c r="C50" s="82"/>
      <c r="D50" s="72"/>
      <c r="E50" s="73"/>
      <c r="F50" s="20" t="s">
        <v>143</v>
      </c>
      <c r="G50" s="46">
        <v>0.25</v>
      </c>
      <c r="H50" s="17">
        <v>23000</v>
      </c>
      <c r="I50" s="17">
        <f t="shared" si="2"/>
        <v>5750</v>
      </c>
      <c r="J50" s="64" t="s">
        <v>197</v>
      </c>
    </row>
    <row r="51" spans="2:10" s="2" customFormat="1" ht="15.6" x14ac:dyDescent="0.3">
      <c r="B51" s="85"/>
      <c r="C51" s="82"/>
      <c r="D51" s="72"/>
      <c r="E51" s="71" t="s">
        <v>144</v>
      </c>
      <c r="F51" s="20" t="s">
        <v>145</v>
      </c>
      <c r="G51" s="46">
        <v>0.25</v>
      </c>
      <c r="H51" s="17">
        <v>23000</v>
      </c>
      <c r="I51" s="17">
        <f t="shared" si="2"/>
        <v>5750</v>
      </c>
      <c r="J51" s="64" t="s">
        <v>197</v>
      </c>
    </row>
    <row r="52" spans="2:10" s="2" customFormat="1" ht="15.6" x14ac:dyDescent="0.3">
      <c r="B52" s="85"/>
      <c r="C52" s="82"/>
      <c r="D52" s="72"/>
      <c r="E52" s="71"/>
      <c r="F52" s="20" t="s">
        <v>146</v>
      </c>
      <c r="G52" s="46">
        <v>0.25</v>
      </c>
      <c r="H52" s="17">
        <v>23000</v>
      </c>
      <c r="I52" s="17">
        <f t="shared" si="2"/>
        <v>5750</v>
      </c>
      <c r="J52" s="64" t="s">
        <v>197</v>
      </c>
    </row>
    <row r="53" spans="2:10" s="2" customFormat="1" ht="15.6" x14ac:dyDescent="0.3">
      <c r="B53" s="85"/>
      <c r="C53" s="82"/>
      <c r="D53" s="72"/>
      <c r="E53" s="71"/>
      <c r="F53" s="20" t="s">
        <v>147</v>
      </c>
      <c r="G53" s="46">
        <v>0.25</v>
      </c>
      <c r="H53" s="17">
        <v>23000</v>
      </c>
      <c r="I53" s="17">
        <f t="shared" si="2"/>
        <v>5750</v>
      </c>
      <c r="J53" s="64" t="s">
        <v>197</v>
      </c>
    </row>
    <row r="54" spans="2:10" s="2" customFormat="1" ht="15.6" x14ac:dyDescent="0.3">
      <c r="B54" s="85"/>
      <c r="C54" s="82"/>
      <c r="D54" s="72"/>
      <c r="E54" s="71"/>
      <c r="F54" s="20" t="s">
        <v>148</v>
      </c>
      <c r="G54" s="46">
        <v>0.25</v>
      </c>
      <c r="H54" s="17">
        <v>23000</v>
      </c>
      <c r="I54" s="17">
        <f t="shared" si="2"/>
        <v>5750</v>
      </c>
      <c r="J54" s="64" t="s">
        <v>197</v>
      </c>
    </row>
    <row r="55" spans="2:10" s="2" customFormat="1" ht="15.6" x14ac:dyDescent="0.3">
      <c r="B55" s="85"/>
      <c r="C55" s="82"/>
      <c r="D55" s="72"/>
      <c r="E55" s="71"/>
      <c r="F55" s="20" t="s">
        <v>149</v>
      </c>
      <c r="G55" s="46">
        <v>0.25</v>
      </c>
      <c r="H55" s="17">
        <v>23000</v>
      </c>
      <c r="I55" s="17">
        <f t="shared" si="2"/>
        <v>5750</v>
      </c>
      <c r="J55" s="64" t="s">
        <v>197</v>
      </c>
    </row>
    <row r="56" spans="2:10" s="2" customFormat="1" ht="15.6" x14ac:dyDescent="0.3">
      <c r="B56" s="85"/>
      <c r="C56" s="82"/>
      <c r="D56" s="72"/>
      <c r="E56" s="71" t="s">
        <v>150</v>
      </c>
      <c r="F56" s="20" t="s">
        <v>151</v>
      </c>
      <c r="G56" s="46">
        <v>0.25</v>
      </c>
      <c r="H56" s="17">
        <v>23000</v>
      </c>
      <c r="I56" s="17">
        <f>G56*H56</f>
        <v>5750</v>
      </c>
      <c r="J56" s="64" t="s">
        <v>197</v>
      </c>
    </row>
    <row r="57" spans="2:10" s="2" customFormat="1" ht="15.6" x14ac:dyDescent="0.3">
      <c r="B57" s="85"/>
      <c r="C57" s="82"/>
      <c r="D57" s="72"/>
      <c r="E57" s="71"/>
      <c r="F57" s="20" t="s">
        <v>152</v>
      </c>
      <c r="G57" s="46">
        <v>0.25</v>
      </c>
      <c r="H57" s="17">
        <v>23000</v>
      </c>
      <c r="I57" s="17">
        <f t="shared" si="2"/>
        <v>5750</v>
      </c>
      <c r="J57" s="64" t="s">
        <v>197</v>
      </c>
    </row>
    <row r="58" spans="2:10" s="2" customFormat="1" ht="15.6" x14ac:dyDescent="0.3">
      <c r="B58" s="85"/>
      <c r="C58" s="82"/>
      <c r="D58" s="72"/>
      <c r="E58" s="71"/>
      <c r="F58" s="20" t="s">
        <v>153</v>
      </c>
      <c r="G58" s="46">
        <v>0.25</v>
      </c>
      <c r="H58" s="17">
        <v>23000</v>
      </c>
      <c r="I58" s="17">
        <f t="shared" si="2"/>
        <v>5750</v>
      </c>
      <c r="J58" s="64" t="s">
        <v>197</v>
      </c>
    </row>
    <row r="59" spans="2:10" s="2" customFormat="1" ht="15.6" x14ac:dyDescent="0.3">
      <c r="B59" s="85"/>
      <c r="C59" s="82"/>
      <c r="D59" s="72"/>
      <c r="E59" s="71"/>
      <c r="F59" s="20" t="s">
        <v>154</v>
      </c>
      <c r="G59" s="46">
        <v>0.25</v>
      </c>
      <c r="H59" s="17">
        <v>23000</v>
      </c>
      <c r="I59" s="17">
        <f t="shared" si="2"/>
        <v>5750</v>
      </c>
      <c r="J59" s="64" t="s">
        <v>197</v>
      </c>
    </row>
    <row r="60" spans="2:10" s="2" customFormat="1" ht="15.6" x14ac:dyDescent="0.3">
      <c r="B60" s="85"/>
      <c r="C60" s="82"/>
      <c r="D60" s="72"/>
      <c r="E60" s="71"/>
      <c r="F60" s="20" t="s">
        <v>155</v>
      </c>
      <c r="G60" s="46">
        <v>0.25</v>
      </c>
      <c r="H60" s="17">
        <v>23000</v>
      </c>
      <c r="I60" s="17">
        <f t="shared" si="2"/>
        <v>5750</v>
      </c>
      <c r="J60" s="64" t="s">
        <v>197</v>
      </c>
    </row>
    <row r="61" spans="2:10" s="2" customFormat="1" ht="15.6" x14ac:dyDescent="0.3">
      <c r="B61" s="85"/>
      <c r="C61" s="82"/>
      <c r="D61" s="72"/>
      <c r="E61" s="71" t="s">
        <v>156</v>
      </c>
      <c r="F61" s="20" t="s">
        <v>157</v>
      </c>
      <c r="G61" s="5">
        <v>0.25</v>
      </c>
      <c r="H61" s="17">
        <v>23000</v>
      </c>
      <c r="I61" s="17">
        <f t="shared" si="2"/>
        <v>5750</v>
      </c>
      <c r="J61" s="64" t="s">
        <v>197</v>
      </c>
    </row>
    <row r="62" spans="2:10" s="2" customFormat="1" ht="46.8" x14ac:dyDescent="0.3">
      <c r="B62" s="85"/>
      <c r="C62" s="82"/>
      <c r="D62" s="72"/>
      <c r="E62" s="71"/>
      <c r="F62" s="20" t="s">
        <v>158</v>
      </c>
      <c r="G62" s="5">
        <v>0.25</v>
      </c>
      <c r="H62" s="17">
        <v>23000</v>
      </c>
      <c r="I62" s="17">
        <f t="shared" si="2"/>
        <v>5750</v>
      </c>
      <c r="J62" s="64" t="s">
        <v>197</v>
      </c>
    </row>
    <row r="63" spans="2:10" s="2" customFormat="1" ht="46.8" x14ac:dyDescent="0.3">
      <c r="B63" s="85"/>
      <c r="C63" s="82"/>
      <c r="D63" s="72"/>
      <c r="E63" s="71"/>
      <c r="F63" s="20" t="s">
        <v>159</v>
      </c>
      <c r="G63" s="5">
        <v>0.25</v>
      </c>
      <c r="H63" s="17">
        <v>23000</v>
      </c>
      <c r="I63" s="17">
        <f t="shared" si="2"/>
        <v>5750</v>
      </c>
      <c r="J63" s="64" t="s">
        <v>197</v>
      </c>
    </row>
    <row r="64" spans="2:10" s="2" customFormat="1" ht="15.6" x14ac:dyDescent="0.3">
      <c r="B64" s="85"/>
      <c r="C64" s="82"/>
      <c r="D64" s="72"/>
      <c r="E64" s="71"/>
      <c r="F64" s="20" t="s">
        <v>160</v>
      </c>
      <c r="G64" s="5">
        <v>0.25</v>
      </c>
      <c r="H64" s="17">
        <v>23000</v>
      </c>
      <c r="I64" s="17">
        <f>G64*H64</f>
        <v>5750</v>
      </c>
      <c r="J64" s="64" t="s">
        <v>197</v>
      </c>
    </row>
    <row r="65" spans="2:10" s="2" customFormat="1" ht="15.6" x14ac:dyDescent="0.3">
      <c r="B65" s="85"/>
      <c r="C65" s="82"/>
      <c r="D65" s="72"/>
      <c r="E65" s="71"/>
      <c r="F65" s="20" t="s">
        <v>161</v>
      </c>
      <c r="G65" s="5">
        <v>0.25</v>
      </c>
      <c r="H65" s="17">
        <v>23000</v>
      </c>
      <c r="I65" s="17">
        <f t="shared" si="2"/>
        <v>5750</v>
      </c>
      <c r="J65" s="64" t="s">
        <v>197</v>
      </c>
    </row>
    <row r="66" spans="2:10" s="2" customFormat="1" ht="31.2" x14ac:dyDescent="0.3">
      <c r="B66" s="85"/>
      <c r="C66" s="82"/>
      <c r="D66" s="31" t="s">
        <v>80</v>
      </c>
      <c r="E66" s="60" t="s">
        <v>162</v>
      </c>
      <c r="F66" s="31" t="s">
        <v>163</v>
      </c>
      <c r="G66" s="5">
        <v>0.25</v>
      </c>
      <c r="H66" s="17">
        <v>23000</v>
      </c>
      <c r="I66" s="17">
        <f t="shared" si="2"/>
        <v>5750</v>
      </c>
      <c r="J66" s="64" t="s">
        <v>197</v>
      </c>
    </row>
    <row r="67" spans="2:10" s="2" customFormat="1" ht="15.6" x14ac:dyDescent="0.3">
      <c r="B67" s="86"/>
      <c r="C67" s="83"/>
      <c r="D67" s="31" t="s">
        <v>60</v>
      </c>
      <c r="E67" s="32" t="s">
        <v>61</v>
      </c>
      <c r="F67" s="33" t="s">
        <v>62</v>
      </c>
      <c r="G67" s="5">
        <v>0.25</v>
      </c>
      <c r="H67" s="34">
        <v>23000</v>
      </c>
      <c r="I67" s="17">
        <f t="shared" si="2"/>
        <v>5750</v>
      </c>
      <c r="J67" s="64" t="s">
        <v>197</v>
      </c>
    </row>
    <row r="68" spans="2:10" s="2" customFormat="1" ht="18" x14ac:dyDescent="0.3">
      <c r="B68" s="77" t="s">
        <v>81</v>
      </c>
      <c r="C68" s="77"/>
      <c r="D68" s="77"/>
      <c r="E68" s="77"/>
      <c r="F68" s="77"/>
      <c r="G68" s="77"/>
      <c r="H68" s="77"/>
      <c r="I68" s="29">
        <f>SUM(I38:I67)</f>
        <v>172500</v>
      </c>
      <c r="J68" s="66"/>
    </row>
    <row r="69" spans="2:10" s="2" customFormat="1" ht="15.6" x14ac:dyDescent="0.3">
      <c r="B69" s="68">
        <v>4</v>
      </c>
      <c r="C69" s="102" t="s">
        <v>185</v>
      </c>
      <c r="D69" s="74" t="s">
        <v>103</v>
      </c>
      <c r="E69" s="35" t="s">
        <v>104</v>
      </c>
      <c r="F69" s="36" t="s">
        <v>105</v>
      </c>
      <c r="G69" s="37">
        <v>0.5</v>
      </c>
      <c r="H69" s="34">
        <v>23000</v>
      </c>
      <c r="I69" s="17">
        <f t="shared" si="2"/>
        <v>11500</v>
      </c>
      <c r="J69" s="64" t="s">
        <v>197</v>
      </c>
    </row>
    <row r="70" spans="2:10" s="2" customFormat="1" ht="15.6" x14ac:dyDescent="0.3">
      <c r="B70" s="69"/>
      <c r="C70" s="103"/>
      <c r="D70" s="75"/>
      <c r="E70" s="38" t="s">
        <v>122</v>
      </c>
      <c r="F70" s="38" t="s">
        <v>123</v>
      </c>
      <c r="G70" s="37">
        <v>0.5</v>
      </c>
      <c r="H70" s="34">
        <v>23000</v>
      </c>
      <c r="I70" s="17">
        <f t="shared" si="2"/>
        <v>11500</v>
      </c>
      <c r="J70" s="64" t="s">
        <v>197</v>
      </c>
    </row>
    <row r="71" spans="2:10" s="2" customFormat="1" ht="15.6" x14ac:dyDescent="0.3">
      <c r="B71" s="69"/>
      <c r="C71" s="103"/>
      <c r="D71" s="75"/>
      <c r="E71" s="39" t="s">
        <v>106</v>
      </c>
      <c r="F71" s="40" t="s">
        <v>107</v>
      </c>
      <c r="G71" s="37">
        <v>0.5</v>
      </c>
      <c r="H71" s="34">
        <v>23000</v>
      </c>
      <c r="I71" s="17">
        <f t="shared" si="2"/>
        <v>11500</v>
      </c>
      <c r="J71" s="64" t="s">
        <v>197</v>
      </c>
    </row>
    <row r="72" spans="2:10" s="2" customFormat="1" ht="15.6" x14ac:dyDescent="0.3">
      <c r="B72" s="69"/>
      <c r="C72" s="103"/>
      <c r="D72" s="75"/>
      <c r="E72" s="39" t="s">
        <v>108</v>
      </c>
      <c r="F72" s="41" t="s">
        <v>109</v>
      </c>
      <c r="G72" s="37">
        <v>0.5</v>
      </c>
      <c r="H72" s="34">
        <v>23000</v>
      </c>
      <c r="I72" s="17">
        <f t="shared" si="2"/>
        <v>11500</v>
      </c>
      <c r="J72" s="64" t="s">
        <v>197</v>
      </c>
    </row>
    <row r="73" spans="2:10" s="2" customFormat="1" ht="15.6" x14ac:dyDescent="0.3">
      <c r="B73" s="69"/>
      <c r="C73" s="103"/>
      <c r="D73" s="76" t="s">
        <v>110</v>
      </c>
      <c r="E73" s="42" t="s">
        <v>111</v>
      </c>
      <c r="F73" s="43" t="s">
        <v>112</v>
      </c>
      <c r="G73" s="37">
        <v>0.5</v>
      </c>
      <c r="H73" s="34">
        <v>23000</v>
      </c>
      <c r="I73" s="17">
        <f t="shared" si="2"/>
        <v>11500</v>
      </c>
      <c r="J73" s="64" t="s">
        <v>197</v>
      </c>
    </row>
    <row r="74" spans="2:10" s="2" customFormat="1" ht="15.6" x14ac:dyDescent="0.3">
      <c r="B74" s="69"/>
      <c r="C74" s="103"/>
      <c r="D74" s="76"/>
      <c r="E74" s="42" t="s">
        <v>113</v>
      </c>
      <c r="F74" s="43" t="s">
        <v>114</v>
      </c>
      <c r="G74" s="37">
        <v>0.5</v>
      </c>
      <c r="H74" s="34">
        <v>23000</v>
      </c>
      <c r="I74" s="17">
        <f t="shared" si="2"/>
        <v>11500</v>
      </c>
      <c r="J74" s="64" t="s">
        <v>197</v>
      </c>
    </row>
    <row r="75" spans="2:10" s="2" customFormat="1" ht="31.2" x14ac:dyDescent="0.3">
      <c r="B75" s="69"/>
      <c r="C75" s="103"/>
      <c r="D75" s="97" t="s">
        <v>115</v>
      </c>
      <c r="E75" s="42" t="s">
        <v>116</v>
      </c>
      <c r="F75" s="43" t="s">
        <v>117</v>
      </c>
      <c r="G75" s="37">
        <v>0.5</v>
      </c>
      <c r="H75" s="34">
        <v>23000</v>
      </c>
      <c r="I75" s="17">
        <f t="shared" si="2"/>
        <v>11500</v>
      </c>
      <c r="J75" s="64" t="s">
        <v>197</v>
      </c>
    </row>
    <row r="76" spans="2:10" s="2" customFormat="1" ht="15.6" x14ac:dyDescent="0.3">
      <c r="B76" s="69"/>
      <c r="C76" s="103"/>
      <c r="D76" s="98"/>
      <c r="E76" s="42" t="s">
        <v>118</v>
      </c>
      <c r="F76" s="43" t="s">
        <v>119</v>
      </c>
      <c r="G76" s="37">
        <v>0.5</v>
      </c>
      <c r="H76" s="34">
        <v>23000</v>
      </c>
      <c r="I76" s="17">
        <f t="shared" si="2"/>
        <v>11500</v>
      </c>
      <c r="J76" s="64" t="s">
        <v>197</v>
      </c>
    </row>
    <row r="77" spans="2:10" s="2" customFormat="1" ht="31.2" x14ac:dyDescent="0.3">
      <c r="B77" s="69"/>
      <c r="C77" s="103"/>
      <c r="D77" s="99" t="s">
        <v>83</v>
      </c>
      <c r="E77" s="44" t="s">
        <v>84</v>
      </c>
      <c r="F77" s="33" t="s">
        <v>85</v>
      </c>
      <c r="G77" s="37">
        <v>0.5</v>
      </c>
      <c r="H77" s="34">
        <v>23000</v>
      </c>
      <c r="I77" s="17">
        <f t="shared" si="2"/>
        <v>11500</v>
      </c>
      <c r="J77" s="64" t="s">
        <v>197</v>
      </c>
    </row>
    <row r="78" spans="2:10" s="2" customFormat="1" ht="31.2" x14ac:dyDescent="0.3">
      <c r="B78" s="69"/>
      <c r="C78" s="103"/>
      <c r="D78" s="99"/>
      <c r="E78" s="44" t="s">
        <v>191</v>
      </c>
      <c r="F78" s="33" t="s">
        <v>86</v>
      </c>
      <c r="G78" s="37">
        <v>0.5</v>
      </c>
      <c r="H78" s="34">
        <v>23000</v>
      </c>
      <c r="I78" s="17">
        <f t="shared" si="2"/>
        <v>11500</v>
      </c>
      <c r="J78" s="64" t="s">
        <v>197</v>
      </c>
    </row>
    <row r="79" spans="2:10" s="2" customFormat="1" ht="15.6" x14ac:dyDescent="0.3">
      <c r="B79" s="69"/>
      <c r="C79" s="103"/>
      <c r="D79" s="100" t="s">
        <v>63</v>
      </c>
      <c r="E79" s="44" t="s">
        <v>64</v>
      </c>
      <c r="F79" s="33" t="s">
        <v>65</v>
      </c>
      <c r="G79" s="37">
        <v>0.5</v>
      </c>
      <c r="H79" s="34">
        <v>23000</v>
      </c>
      <c r="I79" s="17">
        <f t="shared" si="2"/>
        <v>11500</v>
      </c>
      <c r="J79" s="64" t="s">
        <v>197</v>
      </c>
    </row>
    <row r="80" spans="2:10" s="2" customFormat="1" ht="15.6" x14ac:dyDescent="0.3">
      <c r="B80" s="69"/>
      <c r="C80" s="103"/>
      <c r="D80" s="101"/>
      <c r="E80" s="44" t="s">
        <v>66</v>
      </c>
      <c r="F80" s="33" t="s">
        <v>67</v>
      </c>
      <c r="G80" s="37">
        <v>0.5</v>
      </c>
      <c r="H80" s="34">
        <v>23000</v>
      </c>
      <c r="I80" s="17">
        <f t="shared" si="2"/>
        <v>11500</v>
      </c>
      <c r="J80" s="64" t="s">
        <v>197</v>
      </c>
    </row>
    <row r="81" spans="2:10" s="2" customFormat="1" ht="15.6" x14ac:dyDescent="0.3">
      <c r="B81" s="69"/>
      <c r="C81" s="103"/>
      <c r="D81" s="31" t="s">
        <v>68</v>
      </c>
      <c r="E81" s="44" t="s">
        <v>69</v>
      </c>
      <c r="F81" s="33" t="s">
        <v>70</v>
      </c>
      <c r="G81" s="37">
        <v>0.5</v>
      </c>
      <c r="H81" s="34">
        <v>23000</v>
      </c>
      <c r="I81" s="17">
        <f t="shared" si="2"/>
        <v>11500</v>
      </c>
      <c r="J81" s="64" t="s">
        <v>197</v>
      </c>
    </row>
    <row r="82" spans="2:10" s="2" customFormat="1" ht="15.6" x14ac:dyDescent="0.3">
      <c r="B82" s="69"/>
      <c r="C82" s="103"/>
      <c r="D82" s="31" t="s">
        <v>71</v>
      </c>
      <c r="E82" s="44" t="s">
        <v>72</v>
      </c>
      <c r="F82" s="33" t="s">
        <v>73</v>
      </c>
      <c r="G82" s="37">
        <v>0.5</v>
      </c>
      <c r="H82" s="34">
        <v>23000</v>
      </c>
      <c r="I82" s="17">
        <f>G82*H82</f>
        <v>11500</v>
      </c>
      <c r="J82" s="64" t="s">
        <v>197</v>
      </c>
    </row>
    <row r="83" spans="2:10" s="2" customFormat="1" ht="15.6" x14ac:dyDescent="0.3">
      <c r="B83" s="69"/>
      <c r="C83" s="103"/>
      <c r="D83" s="61" t="s">
        <v>74</v>
      </c>
      <c r="E83" s="47" t="s">
        <v>75</v>
      </c>
      <c r="F83" s="48" t="s">
        <v>76</v>
      </c>
      <c r="G83" s="37">
        <v>0.5</v>
      </c>
      <c r="H83" s="34">
        <v>23000</v>
      </c>
      <c r="I83" s="17">
        <f t="shared" si="2"/>
        <v>11500</v>
      </c>
      <c r="J83" s="64" t="s">
        <v>197</v>
      </c>
    </row>
    <row r="84" spans="2:10" s="2" customFormat="1" ht="15.6" x14ac:dyDescent="0.3">
      <c r="B84" s="70"/>
      <c r="C84" s="104"/>
      <c r="D84" s="61" t="s">
        <v>77</v>
      </c>
      <c r="E84" s="49" t="s">
        <v>78</v>
      </c>
      <c r="F84" s="48" t="s">
        <v>79</v>
      </c>
      <c r="G84" s="37">
        <v>0.5</v>
      </c>
      <c r="H84" s="34">
        <v>23000</v>
      </c>
      <c r="I84" s="17">
        <f t="shared" si="2"/>
        <v>11500</v>
      </c>
      <c r="J84" s="64" t="s">
        <v>197</v>
      </c>
    </row>
    <row r="85" spans="2:10" s="2" customFormat="1" ht="18" x14ac:dyDescent="0.3">
      <c r="B85" s="77" t="s">
        <v>81</v>
      </c>
      <c r="C85" s="77"/>
      <c r="D85" s="77"/>
      <c r="E85" s="77"/>
      <c r="F85" s="77"/>
      <c r="G85" s="77"/>
      <c r="H85" s="77"/>
      <c r="I85" s="29">
        <f>SUM(I69:I84)</f>
        <v>184000</v>
      </c>
      <c r="J85" s="66"/>
    </row>
    <row r="86" spans="2:10" s="2" customFormat="1" ht="31.2" x14ac:dyDescent="0.3">
      <c r="B86" s="69">
        <v>5</v>
      </c>
      <c r="C86" s="69" t="s">
        <v>49</v>
      </c>
      <c r="D86" s="96" t="s">
        <v>50</v>
      </c>
      <c r="E86" s="50" t="s">
        <v>168</v>
      </c>
      <c r="F86" s="16" t="s">
        <v>51</v>
      </c>
      <c r="G86" s="12">
        <v>6</v>
      </c>
      <c r="H86" s="13">
        <v>23000</v>
      </c>
      <c r="I86" s="17">
        <f t="shared" si="2"/>
        <v>138000</v>
      </c>
      <c r="J86" s="64" t="s">
        <v>197</v>
      </c>
    </row>
    <row r="87" spans="2:10" s="2" customFormat="1" ht="15.6" x14ac:dyDescent="0.3">
      <c r="B87" s="69"/>
      <c r="C87" s="69"/>
      <c r="D87" s="96"/>
      <c r="E87" s="50" t="s">
        <v>52</v>
      </c>
      <c r="F87" s="16" t="s">
        <v>179</v>
      </c>
      <c r="G87" s="12">
        <v>6</v>
      </c>
      <c r="H87" s="13">
        <v>23000</v>
      </c>
      <c r="I87" s="17">
        <f t="shared" si="2"/>
        <v>138000</v>
      </c>
      <c r="J87" s="64" t="s">
        <v>197</v>
      </c>
    </row>
    <row r="88" spans="2:10" s="2" customFormat="1" ht="62.4" x14ac:dyDescent="0.3">
      <c r="B88" s="69"/>
      <c r="C88" s="69"/>
      <c r="D88" s="96"/>
      <c r="E88" s="50" t="s">
        <v>53</v>
      </c>
      <c r="F88" s="16" t="s">
        <v>54</v>
      </c>
      <c r="G88" s="12">
        <v>16</v>
      </c>
      <c r="H88" s="13">
        <v>23000</v>
      </c>
      <c r="I88" s="17">
        <f t="shared" si="2"/>
        <v>368000</v>
      </c>
      <c r="J88" s="64" t="s">
        <v>197</v>
      </c>
    </row>
    <row r="89" spans="2:10" s="2" customFormat="1" ht="78" x14ac:dyDescent="0.3">
      <c r="B89" s="69"/>
      <c r="C89" s="69"/>
      <c r="D89" s="46" t="s">
        <v>182</v>
      </c>
      <c r="E89" s="18" t="s">
        <v>166</v>
      </c>
      <c r="F89" s="11" t="s">
        <v>184</v>
      </c>
      <c r="G89" s="12">
        <v>36</v>
      </c>
      <c r="H89" s="13">
        <v>23000</v>
      </c>
      <c r="I89" s="17">
        <f>G89*H89</f>
        <v>828000</v>
      </c>
      <c r="J89" s="64" t="s">
        <v>197</v>
      </c>
    </row>
    <row r="90" spans="2:10" s="2" customFormat="1" ht="31.2" x14ac:dyDescent="0.3">
      <c r="B90" s="69"/>
      <c r="C90" s="69"/>
      <c r="D90" s="69" t="s">
        <v>183</v>
      </c>
      <c r="E90" s="18" t="s">
        <v>55</v>
      </c>
      <c r="F90" s="11" t="s">
        <v>56</v>
      </c>
      <c r="G90" s="12">
        <v>12</v>
      </c>
      <c r="H90" s="13">
        <v>23000</v>
      </c>
      <c r="I90" s="17">
        <f t="shared" si="2"/>
        <v>276000</v>
      </c>
      <c r="J90" s="64" t="s">
        <v>197</v>
      </c>
    </row>
    <row r="91" spans="2:10" s="2" customFormat="1" ht="15.6" x14ac:dyDescent="0.3">
      <c r="B91" s="69"/>
      <c r="C91" s="69"/>
      <c r="D91" s="69"/>
      <c r="E91" s="18" t="s">
        <v>167</v>
      </c>
      <c r="F91" s="11" t="s">
        <v>57</v>
      </c>
      <c r="G91" s="12">
        <v>12</v>
      </c>
      <c r="H91" s="13">
        <v>23000</v>
      </c>
      <c r="I91" s="17">
        <f t="shared" si="2"/>
        <v>276000</v>
      </c>
      <c r="J91" s="64" t="s">
        <v>197</v>
      </c>
    </row>
    <row r="92" spans="2:10" s="2" customFormat="1" ht="15.6" x14ac:dyDescent="0.3">
      <c r="B92" s="70"/>
      <c r="C92" s="69"/>
      <c r="D92" s="70"/>
      <c r="E92" s="22" t="s">
        <v>58</v>
      </c>
      <c r="F92" s="23" t="s">
        <v>59</v>
      </c>
      <c r="G92" s="24">
        <v>6</v>
      </c>
      <c r="H92" s="13">
        <v>23000</v>
      </c>
      <c r="I92" s="17">
        <f t="shared" si="2"/>
        <v>138000</v>
      </c>
      <c r="J92" s="64" t="s">
        <v>197</v>
      </c>
    </row>
    <row r="93" spans="2:10" s="2" customFormat="1" ht="18" x14ac:dyDescent="0.3">
      <c r="B93" s="77" t="s">
        <v>81</v>
      </c>
      <c r="C93" s="77"/>
      <c r="D93" s="77"/>
      <c r="E93" s="77"/>
      <c r="F93" s="77"/>
      <c r="G93" s="77"/>
      <c r="H93" s="77"/>
      <c r="I93" s="29">
        <f>SUM(I86:I92)</f>
        <v>2162000</v>
      </c>
      <c r="J93" s="66"/>
    </row>
    <row r="94" spans="2:10" ht="15.6" x14ac:dyDescent="0.3">
      <c r="B94" s="88">
        <v>6</v>
      </c>
      <c r="C94" s="88" t="s">
        <v>195</v>
      </c>
      <c r="D94" s="37" t="s">
        <v>180</v>
      </c>
      <c r="E94" s="93" t="s">
        <v>190</v>
      </c>
      <c r="F94" s="94"/>
      <c r="G94" s="37">
        <v>30</v>
      </c>
      <c r="H94" s="51">
        <v>18000</v>
      </c>
      <c r="I94" s="51">
        <f t="shared" ref="I94:I95" si="3">G94*H94</f>
        <v>540000</v>
      </c>
      <c r="J94" s="51" t="s">
        <v>198</v>
      </c>
    </row>
    <row r="95" spans="2:10" ht="15.6" x14ac:dyDescent="0.3">
      <c r="B95" s="89"/>
      <c r="C95" s="89"/>
      <c r="D95" s="46" t="s">
        <v>82</v>
      </c>
      <c r="E95" s="91" t="s">
        <v>189</v>
      </c>
      <c r="F95" s="92"/>
      <c r="G95" s="4">
        <v>150</v>
      </c>
      <c r="H95" s="3">
        <v>300</v>
      </c>
      <c r="I95" s="3">
        <f t="shared" si="3"/>
        <v>45000</v>
      </c>
      <c r="J95" s="64" t="s">
        <v>197</v>
      </c>
    </row>
    <row r="96" spans="2:10" ht="18" x14ac:dyDescent="0.3">
      <c r="B96" s="77" t="s">
        <v>81</v>
      </c>
      <c r="C96" s="77"/>
      <c r="D96" s="77"/>
      <c r="E96" s="77"/>
      <c r="F96" s="77"/>
      <c r="G96" s="77"/>
      <c r="H96" s="77"/>
      <c r="I96" s="29">
        <f>SUM(I94:I95)</f>
        <v>585000</v>
      </c>
      <c r="J96" s="66"/>
    </row>
    <row r="97" spans="2:10" ht="18" x14ac:dyDescent="0.3">
      <c r="B97" s="90" t="s">
        <v>181</v>
      </c>
      <c r="C97" s="90"/>
      <c r="D97" s="90"/>
      <c r="E97" s="90"/>
      <c r="F97" s="90"/>
      <c r="G97" s="90"/>
      <c r="H97" s="90"/>
      <c r="I97" s="30">
        <f>I30+I37+I68+I85+I93+I96</f>
        <v>5341900</v>
      </c>
      <c r="J97" s="67"/>
    </row>
  </sheetData>
  <mergeCells count="45">
    <mergeCell ref="B93:H93"/>
    <mergeCell ref="D31:D33"/>
    <mergeCell ref="D34:D35"/>
    <mergeCell ref="B31:B36"/>
    <mergeCell ref="C31:C36"/>
    <mergeCell ref="D38:D42"/>
    <mergeCell ref="B68:H68"/>
    <mergeCell ref="B85:H85"/>
    <mergeCell ref="C86:C92"/>
    <mergeCell ref="B86:B92"/>
    <mergeCell ref="D86:D88"/>
    <mergeCell ref="D90:D92"/>
    <mergeCell ref="D75:D76"/>
    <mergeCell ref="D77:D78"/>
    <mergeCell ref="D79:D80"/>
    <mergeCell ref="C69:C84"/>
    <mergeCell ref="B97:H97"/>
    <mergeCell ref="E95:F95"/>
    <mergeCell ref="B96:H96"/>
    <mergeCell ref="B94:B95"/>
    <mergeCell ref="C94:C95"/>
    <mergeCell ref="E94:F94"/>
    <mergeCell ref="B30:H30"/>
    <mergeCell ref="B37:H37"/>
    <mergeCell ref="B1:J1"/>
    <mergeCell ref="C38:C67"/>
    <mergeCell ref="B38:B67"/>
    <mergeCell ref="B3:B29"/>
    <mergeCell ref="C3:C29"/>
    <mergeCell ref="D3:D15"/>
    <mergeCell ref="D16:D22"/>
    <mergeCell ref="D23:D29"/>
    <mergeCell ref="B69:B84"/>
    <mergeCell ref="E38:E39"/>
    <mergeCell ref="E40:E41"/>
    <mergeCell ref="D43:D45"/>
    <mergeCell ref="E43:E45"/>
    <mergeCell ref="D46:D65"/>
    <mergeCell ref="E46:E47"/>
    <mergeCell ref="E48:E50"/>
    <mergeCell ref="E51:E55"/>
    <mergeCell ref="E56:E60"/>
    <mergeCell ref="E61:E65"/>
    <mergeCell ref="D69:D72"/>
    <mergeCell ref="D73:D7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1204B53E83C64DB3B8D6CF5F59C0E2" ma:contentTypeVersion="16" ma:contentTypeDescription="Create a new document." ma:contentTypeScope="" ma:versionID="0775d0fde6ce11adf4042df1224617c1">
  <xsd:schema xmlns:xsd="http://www.w3.org/2001/XMLSchema" xmlns:xs="http://www.w3.org/2001/XMLSchema" xmlns:p="http://schemas.microsoft.com/office/2006/metadata/properties" xmlns:ns2="27d9ea5f-bd95-49f9-ac14-bd7e8cd9625f" xmlns:ns3="f46ba1ff-6c24-486b-8207-ddf7891f3fee" targetNamespace="http://schemas.microsoft.com/office/2006/metadata/properties" ma:root="true" ma:fieldsID="250007cdb2d5b31500e559a232aa6c36" ns2:_="" ns3:_="">
    <xsd:import namespace="27d9ea5f-bd95-49f9-ac14-bd7e8cd9625f"/>
    <xsd:import namespace="f46ba1ff-6c24-486b-8207-ddf7891f3fe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d9ea5f-bd95-49f9-ac14-bd7e8cd962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e50c28b-242c-4b51-be91-908d422433a4"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6ba1ff-6c24-486b-8207-ddf7891f3fe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36945a5-b1f9-4424-9db9-665e60060e4d}" ma:internalName="TaxCatchAll" ma:showField="CatchAllData" ma:web="f46ba1ff-6c24-486b-8207-ddf7891f3f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7d9ea5f-bd95-49f9-ac14-bd7e8cd9625f">
      <Terms xmlns="http://schemas.microsoft.com/office/infopath/2007/PartnerControls"/>
    </lcf76f155ced4ddcb4097134ff3c332f>
    <TaxCatchAll xmlns="f46ba1ff-6c24-486b-8207-ddf7891f3fee" xsi:nil="true"/>
    <SharedWithUsers xmlns="f46ba1ff-6c24-486b-8207-ddf7891f3fee">
      <UserInfo>
        <DisplayName/>
        <AccountId xsi:nil="true"/>
        <AccountType/>
      </UserInfo>
    </SharedWithUsers>
  </documentManagement>
</p:properties>
</file>

<file path=customXml/itemProps1.xml><?xml version="1.0" encoding="utf-8"?>
<ds:datastoreItem xmlns:ds="http://schemas.openxmlformats.org/officeDocument/2006/customXml" ds:itemID="{BAC54712-222B-49E6-9761-7374C40CDE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d9ea5f-bd95-49f9-ac14-bd7e8cd9625f"/>
    <ds:schemaRef ds:uri="f46ba1ff-6c24-486b-8207-ddf7891f3f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0F620AF-6911-426F-A949-AD67AC89146F}">
  <ds:schemaRefs>
    <ds:schemaRef ds:uri="http://schemas.microsoft.com/sharepoint/v3/contenttype/forms"/>
  </ds:schemaRefs>
</ds:datastoreItem>
</file>

<file path=customXml/itemProps3.xml><?xml version="1.0" encoding="utf-8"?>
<ds:datastoreItem xmlns:ds="http://schemas.openxmlformats.org/officeDocument/2006/customXml" ds:itemID="{4A944F3E-CF0C-4FAE-8303-2637FF82554D}">
  <ds:schemaRefs>
    <ds:schemaRef ds:uri="http://schemas.microsoft.com/office/2006/documentManagement/types"/>
    <ds:schemaRef ds:uri="27d9ea5f-bd95-49f9-ac14-bd7e8cd9625f"/>
    <ds:schemaRef ds:uri="http://schemas.microsoft.com/office/2006/metadata/properties"/>
    <ds:schemaRef ds:uri="http://purl.org/dc/dcmitype/"/>
    <ds:schemaRef ds:uri="http://schemas.microsoft.com/office/infopath/2007/PartnerControls"/>
    <ds:schemaRef ds:uri="http://schemas.openxmlformats.org/package/2006/metadata/core-properties"/>
    <ds:schemaRef ds:uri="f46ba1ff-6c24-486b-8207-ddf7891f3fee"/>
    <ds:schemaRef ds:uri="http://www.w3.org/XML/1998/namespace"/>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定制开发应用功能详细列表</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WU Chandler (ETAS/SXA-CN)</dc:creator>
  <cp:keywords/>
  <dc:description/>
  <cp:lastModifiedBy>ZHANG Wei (ETAS-ICA/XPC-Sgh3)</cp:lastModifiedBy>
  <cp:revision/>
  <dcterms:created xsi:type="dcterms:W3CDTF">2015-06-05T18:17:20Z</dcterms:created>
  <dcterms:modified xsi:type="dcterms:W3CDTF">2025-09-17T02:29:28Z</dcterms:modified>
  <cp:category/>
  <cp:contentStatus/>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0x010100641204B53E83C64DB3B8D6CF5F59C0E2</vt:lpwstr>
  </op:property>
  <op:property fmtid="{D5CDD505-2E9C-101B-9397-08002B2CF9AE}" pid="3" name="_dlc_DocIdItemGuid">
    <vt:lpwstr>1db36403-5687-4cf9-bb14-4a5a379599e8</vt:lpwstr>
  </op:property>
  <op:property fmtid="{D5CDD505-2E9C-101B-9397-08002B2CF9AE}" pid="4" name="MediaServiceImageTags">
    <vt:lpwstr/>
  </op:property>
  <op:property fmtid="{D5CDD505-2E9C-101B-9397-08002B2CF9AE}" pid="5" name="ArchivingPeriod">
    <vt:lpwstr>15</vt:lpwstr>
  </op:property>
  <op:property fmtid="{D5CDD505-2E9C-101B-9397-08002B2CF9AE}" pid="6" name="xd_ProgID">
    <vt:lpwstr/>
  </op:property>
  <op:property fmtid="{D5CDD505-2E9C-101B-9397-08002B2CF9AE}" pid="7" name="_dlc_DocId">
    <vt:lpwstr>W6JESV2SRTE7-1434976816-43794</vt:lpwstr>
  </op:property>
  <op:property fmtid="{D5CDD505-2E9C-101B-9397-08002B2CF9AE}" pid="8" name="Attachment">
    <vt:bool>true</vt:bool>
  </op:property>
  <op:property fmtid="{D5CDD505-2E9C-101B-9397-08002B2CF9AE}" pid="9" name="Safeguarding">
    <vt:lpwstr>No</vt:lpwstr>
  </op:property>
  <op:property fmtid="{D5CDD505-2E9C-101B-9397-08002B2CF9AE}" pid="10" name="ComplianceAssetId">
    <vt:lpwstr/>
  </op:property>
  <op:property fmtid="{D5CDD505-2E9C-101B-9397-08002B2CF9AE}" pid="11" name="TemplateUrl">
    <vt:lpwstr/>
  </op:property>
  <op:property fmtid="{D5CDD505-2E9C-101B-9397-08002B2CF9AE}" pid="12" name="Historicalrelevance">
    <vt:lpwstr>No</vt:lpwstr>
  </op:property>
  <op:property fmtid="{D5CDD505-2E9C-101B-9397-08002B2CF9AE}" pid="13" name="_ExtendedDescription">
    <vt:lpwstr/>
  </op:property>
  <op:property fmtid="{D5CDD505-2E9C-101B-9397-08002B2CF9AE}" pid="14" name="TriggerFlowInfo">
    <vt:lpwstr/>
  </op:property>
  <op:property fmtid="{D5CDD505-2E9C-101B-9397-08002B2CF9AE}" pid="15" name="CSC">
    <vt:lpwstr>1</vt:lpwstr>
  </op:property>
  <op:property fmtid="{D5CDD505-2E9C-101B-9397-08002B2CF9AE}" pid="16" name="LinkedToILM">
    <vt:bool>false</vt:bool>
  </op:property>
  <op:property fmtid="{D5CDD505-2E9C-101B-9397-08002B2CF9AE}" pid="17" name="_dlc_DocIdUrl">
    <vt:lpwstr>https://bosch.sharepoint.com/sites/20000563/_layouts/15/DocIdRedir.aspx?ID=W6JESV2SRTE7-1434976816-43794, W6JESV2SRTE7-1434976816-43794</vt:lpwstr>
  </op:property>
  <op:property fmtid="{D5CDD505-2E9C-101B-9397-08002B2CF9AE}" pid="18" name="ISC">
    <vt:lpwstr>1</vt:lpwstr>
  </op:property>
  <op:property fmtid="{D5CDD505-2E9C-101B-9397-08002B2CF9AE}" pid="19" name="xd_Signature">
    <vt:bool>false</vt:bool>
  </op:property>
  <op:property fmtid="{D5CDD505-2E9C-101B-9397-08002B2CF9AE}" pid="20" name="ASC">
    <vt:lpwstr>1</vt:lpwstr>
  </op:property>
  <op:property fmtid="{D5CDD505-2E9C-101B-9397-08002B2CF9AE}" pid="21" name="_IPGFID">
    <vt:lpwstr>[DocID]=82D00397-BF9B-4489-9660-6E4583AD05E4</vt:lpwstr>
  </op:property>
  <op:property fmtid="{D5CDD505-2E9C-101B-9397-08002B2CF9AE}" pid="22" name="_IPGFLOW_P-1_E-1_FP-1_SP-1_CV-2424E28D_CN-359418AD">
    <vt:lpwstr>mkplpltJDDTjCqOe1aml0HqZgMuU+iAGIQbJSWgiQX93B2DWYfDH6VlT2jhV1G5P28tKB8JMCVYlRcDSjw7YeXlaEmhjdkxQsFYeCgTsiRY+nUjzKjlcR+4xa1gjOzW3T8UGRX/1jwTFnLQS3ctdSzispLziM/U00gFhZCK4uBRXaliww3MI8rUxOTB3fzXWpd7F/apA3aoBMoTl46x9GE1dhF5gM1HBHvC3dDIjE1/Bus+M3pSi5yYxrABqF/o</vt:lpwstr>
  </op:property>
  <op:property fmtid="{D5CDD505-2E9C-101B-9397-08002B2CF9AE}" pid="23" name="_IPGFLOW_P-1_E-1_FP-1_SP-2_CV-C4CC769A_CN-CC6602D3">
    <vt:lpwstr>eCYGvEMfNGkDzthwSCj8GUV4nW580CPC5eB4410DbQVWU9vJP+uNdGQNfOy2dhbEyTZ4nBS+0sR2TUS3eWlb/WUqoOtIXgn3JRMPVetnlC4c=</vt:lpwstr>
  </op:property>
  <op:property fmtid="{D5CDD505-2E9C-101B-9397-08002B2CF9AE}" pid="24" name="_IPGFLOW_P-1_E-0_FP-1_CV-2D4294F3_CN-D5BDD40C">
    <vt:lpwstr>DPSPMK|3|364|2|0</vt:lpwstr>
  </op:property>
  <op:property fmtid="{D5CDD505-2E9C-101B-9397-08002B2CF9AE}" pid="25" name="_IPGFLOW_P-1_E-1_FP-2_SP-1_CV-658AD1BE_CN-75ABF48E">
    <vt:lpwstr>U7Czmws9Y+tcOGbS3V+wcD1zZo/wkfdwpitT149DQbE2noN5b9TjozZOzAMC7N3txDqKreJXt+/LXz26+TFbAzaRUpRCLLxQr8I6AXUvgUsiNOJMuyTUbFEfWZMyWLgdo027RjhLFBfpWNOubvgxpfn6Shu0KjDMJ8AnSYNngTzFec1oR2XEM3kdCuzDXdg2T6htdBfdfuuT3OfgYJcP0wYHHxSRWW1/f70Ptk6KProkzs5y14ULzGDCil00U1e</vt:lpwstr>
  </op:property>
  <op:property fmtid="{D5CDD505-2E9C-101B-9397-08002B2CF9AE}" pid="26" name="_IPGFLOW_P-1_E-1_FP-2_SP-2_CV-1BE6631A_CN-D6E80F69">
    <vt:lpwstr>GcA8Do/+kdYaZTMDYjSLvIAwF4RxUpI/Mnbh9FK5bRkbx+oeDFK7PKKCFVXxA2XfjPW2KpeEl47UiRsWcp/80Nc8em/lB3lnQ+/Y7nFsU8FI=</vt:lpwstr>
  </op:property>
  <op:property fmtid="{D5CDD505-2E9C-101B-9397-08002B2CF9AE}" pid="27" name="_IPGFLOW_P-1_E-0_FP-2_CV-2D4294F3_CN-6877B8C2">
    <vt:lpwstr>DPSPMK|3|364|2|0</vt:lpwstr>
  </op:property>
  <op:property fmtid="{D5CDD505-2E9C-101B-9397-08002B2CF9AE}" pid="28" name="_IPGFLOW_P-1_E-1_FP-3_SP-1_CV-6C692444_CN-F011CF71">
    <vt:lpwstr>U7Czmws9Y+tcOGbS3V+wcL7mmxy3AjTxHGo4WsVXmkZngx0O074bl3x4k45XRkLy4KM9SJgqsFg/BgYY6BhB9FhYamnb84MZ47DOGCqUq8efk/resWobY33YfKqMF3EZcC0by0QnT3DF5YTGD5aNpXKcWdr+/76smVKtm/yW/MCsTLK3oS83QbIC1kT6huC8A8MRMcpEgRXT8028GAk8XKQ3zbrA9DzkKv7f24JKw159YbDyer9cm/TlkOeMxOH</vt:lpwstr>
  </op:property>
  <op:property fmtid="{D5CDD505-2E9C-101B-9397-08002B2CF9AE}" pid="29" name="_IPGFLOW_P-1_E-1_FP-3_SP-2_CV-3BD0CD54_CN-76DFF63C">
    <vt:lpwstr>WOI2mUcYlcw5Uf+zVvaFQSgRLww1j/YXLwHFDAlXBk1UYquqz3nIGds7jvoCtNGbvLwJ3WK93UUlhSw2V9RAhGY7kBu3eeFtSjpV/QSgyJaY=</vt:lpwstr>
  </op:property>
  <op:property fmtid="{D5CDD505-2E9C-101B-9397-08002B2CF9AE}" pid="30" name="_IPGFLOW_P-1_E-0_FP-3_CV-2D4294F3_CN-B5E16147">
    <vt:lpwstr>DPSPMK|3|364|2|0</vt:lpwstr>
  </op:property>
  <op:property fmtid="{D5CDD505-2E9C-101B-9397-08002B2CF9AE}" pid="31" name="_IPGFLOW_P-1_E-0_CV-8E99CE07_CN-D89DE77">
    <vt:lpwstr>DPFPMK|3|50|4|0</vt:lpwstr>
  </op:property>
  <op:property fmtid="{D5CDD505-2E9C-101B-9397-08002B2CF9AE}" pid="32" name="_IPGFLOW_P-1_E-1_FP-4_SP-1_CV-43832493_CN-E402807C">
    <vt:lpwstr>iR9r4/4DFIvRK5EW5j1vp8xYmzIgsMxHI00bRapt5+NrLbAqZm1TSE8CdV08LVsy2jhQm2uYO5J/9QnE4AcJbLi9sxQDYp7YcfV6V8tECOcjY4YW75sNA3+37c19Yp+EBtg4tHehmszH4DsSIUPcbk7Zui9VkLxy/qlpHDREgMBKmSv9ljhoJqADivalcPbPHRaUIwZ9vejgMo1UTQwCJXy0F/P5PZvH96Ik3xL5G7wmbpR/fsoICQHY13+YPoz</vt:lpwstr>
  </op:property>
  <op:property fmtid="{D5CDD505-2E9C-101B-9397-08002B2CF9AE}" pid="33" name="_IPGFLOW_P-1_E-1_FP-4_SP-2_CV-F2766903_CN-7E04F303">
    <vt:lpwstr>vIQd1CwrB5irZ/3a1yLgGc7uQbFAABIy7ZAANIEidEI9JqS5yzEnEyceFsTmWfg/4/vYY9h1SBj1zbyo6Icq8haEy0bMyD6DH0//hAVcg13bGyy/iuvZ+JL7sjy2dLyhJNjPClldvUMH4NSjjmgaMaChFnMYGDH6c1XkvtHxp0TQ=</vt:lpwstr>
  </op:property>
  <op:property fmtid="{D5CDD505-2E9C-101B-9397-08002B2CF9AE}" pid="34" name="_IPGFLOW_P-1_E-0_FP-4_CV-B684056A_CN-A494E0D">
    <vt:lpwstr>DPSPMK|3|428|2|0</vt:lpwstr>
  </op:property>
</op:Properties>
</file>